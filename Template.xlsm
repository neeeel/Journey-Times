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2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 concurrentCalc="0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<sst xmlns="http://schemas.openxmlformats.org/spreadsheetml/2006/main" count="62" uniqueCount="57">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</sst>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6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3" fillId="4" borderId="14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28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67796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42581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53788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26894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5" sqref="B5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3" t="s">
        <v>6</v>
      </c>
      <c r="C14" s="84"/>
      <c r="D14" s="20"/>
      <c r="E14" s="21"/>
      <c r="F14" s="17"/>
    </row>
    <row r="15" spans="1:6" ht="30" customHeight="1" x14ac:dyDescent="0.2">
      <c r="A15" s="16"/>
      <c r="B15" s="83"/>
      <c r="C15" s="84"/>
      <c r="D15" s="20"/>
      <c r="E15" s="21"/>
      <c r="F15" s="17"/>
    </row>
    <row r="16" spans="1:6" ht="30" customHeight="1" x14ac:dyDescent="0.2">
      <c r="A16" s="16"/>
      <c r="B16" s="85"/>
      <c r="C16" s="86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F27" sqref="F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7" t="s">
        <v>12</v>
      </c>
      <c r="F2" s="87"/>
      <c r="G2" s="87"/>
      <c r="H2" s="87"/>
      <c r="T2" s="88">
        <f>'Job Details'!$C$7</f>
        <v>0</v>
      </c>
      <c r="U2" s="89"/>
      <c r="V2" s="89"/>
      <c r="W2" s="89"/>
    </row>
    <row r="3" spans="1:23" x14ac:dyDescent="0.2">
      <c r="E3" s="87"/>
      <c r="F3" s="87"/>
      <c r="G3" s="87"/>
      <c r="H3" s="87"/>
      <c r="T3" s="90">
        <f>'Job Details'!$C$8</f>
        <v>0</v>
      </c>
      <c r="U3" s="90"/>
      <c r="V3" s="90"/>
      <c r="W3" s="90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1">
        <f>'Job Details'!$C$10</f>
        <v>0</v>
      </c>
      <c r="U4" s="91"/>
      <c r="V4" s="91"/>
      <c r="W4" s="91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tabSelected="1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4" t="s">
        <v>13</v>
      </c>
      <c r="G2" s="94"/>
      <c r="H2" s="94"/>
      <c r="I2" s="94"/>
      <c r="U2" s="88">
        <f>'Job Details'!$C$7</f>
        <v>0</v>
      </c>
      <c r="V2" s="89"/>
      <c r="W2" s="89"/>
      <c r="X2" s="89"/>
    </row>
    <row r="3" spans="1:24" s="5" customFormat="1" x14ac:dyDescent="0.2">
      <c r="B3" s="6"/>
      <c r="C3" s="7"/>
      <c r="D3" s="7"/>
      <c r="F3" s="94"/>
      <c r="G3" s="94"/>
      <c r="H3" s="94"/>
      <c r="I3" s="94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90">
        <f>'Job Details'!$C$8</f>
        <v>0</v>
      </c>
      <c r="V3" s="90"/>
      <c r="W3" s="90"/>
      <c r="X3" s="90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1">
        <f>'Job Details'!$C$10</f>
        <v>0</v>
      </c>
      <c r="V4" s="91"/>
      <c r="W4" s="91"/>
      <c r="X4" s="91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2" t="s">
        <v>9</v>
      </c>
      <c r="C8" s="93"/>
      <c r="D8" s="45">
        <v>0</v>
      </c>
      <c r="E8" s="45">
        <v>1.023268134046075</v>
      </c>
      <c r="F8" s="44"/>
    </row>
    <row r="9" spans="1:24" x14ac:dyDescent="0.2">
      <c r="A9" s="13"/>
      <c r="B9" s="92" t="s">
        <v>8</v>
      </c>
      <c r="C9" s="92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7" t="s">
        <v>14</v>
      </c>
      <c r="F2" s="87"/>
      <c r="G2" s="87"/>
      <c r="H2" s="87"/>
      <c r="U2" s="88">
        <f>'Job Details'!$C$7</f>
        <v>0</v>
      </c>
      <c r="V2" s="89"/>
      <c r="W2" s="89"/>
      <c r="X2" s="89"/>
    </row>
    <row r="3" spans="1:24" x14ac:dyDescent="0.2">
      <c r="E3" s="87"/>
      <c r="F3" s="87"/>
      <c r="G3" s="87"/>
      <c r="H3" s="87"/>
      <c r="U3" s="90">
        <f>'Job Details'!$C$8</f>
        <v>0</v>
      </c>
      <c r="V3" s="90"/>
      <c r="W3" s="90"/>
      <c r="X3" s="90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1">
        <f>'Job Details'!$C$10</f>
        <v>0</v>
      </c>
      <c r="V4" s="91"/>
      <c r="W4" s="91"/>
      <c r="X4" s="91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7" t="s">
        <v>15</v>
      </c>
      <c r="F2" s="87"/>
      <c r="G2" s="87"/>
      <c r="H2" s="87"/>
      <c r="T2" s="88">
        <f>'Job Details'!$C$7</f>
        <v>0</v>
      </c>
      <c r="U2" s="89"/>
      <c r="V2" s="89"/>
      <c r="W2" s="89"/>
    </row>
    <row r="3" spans="1:23" x14ac:dyDescent="0.2">
      <c r="E3" s="87"/>
      <c r="F3" s="87"/>
      <c r="G3" s="87"/>
      <c r="H3" s="87"/>
      <c r="T3" s="90">
        <f>'Job Details'!$C$8</f>
        <v>0</v>
      </c>
      <c r="U3" s="90"/>
      <c r="V3" s="90"/>
      <c r="W3" s="90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1">
        <f>'Job Details'!$C$10</f>
        <v>0</v>
      </c>
      <c r="U4" s="91"/>
      <c r="V4" s="91"/>
      <c r="W4" s="91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7" t="s">
        <v>16</v>
      </c>
      <c r="F2" s="87"/>
      <c r="G2" s="87"/>
      <c r="H2" s="87"/>
      <c r="T2" s="88">
        <f>'Job Details'!$C$7</f>
        <v>0</v>
      </c>
      <c r="U2" s="89"/>
      <c r="V2" s="89"/>
      <c r="W2" s="89"/>
    </row>
    <row r="3" spans="1:23" x14ac:dyDescent="0.2">
      <c r="E3" s="87"/>
      <c r="F3" s="87"/>
      <c r="G3" s="87"/>
      <c r="H3" s="87"/>
      <c r="T3" s="90">
        <f>'Job Details'!$C$8</f>
        <v>0</v>
      </c>
      <c r="U3" s="90"/>
      <c r="V3" s="90"/>
      <c r="W3" s="90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1">
        <f>'Job Details'!$C$10</f>
        <v>0</v>
      </c>
      <c r="U4" s="91"/>
      <c r="V4" s="91"/>
      <c r="W4" s="91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G16" sqref="G16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O16" sqref="O16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5.5703125" style="50" customWidth="1"/>
    <col min="18" max="18" width="6.140625" style="50" customWidth="1"/>
    <col min="19" max="22" width="9.140625" style="50"/>
    <col min="23" max="23" width="7.85546875" style="50" hidden="1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20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5"/>
      <c r="Q3" s="95"/>
      <c r="R3" s="95"/>
      <c r="S3" s="95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5"/>
      <c r="Q4" s="95"/>
      <c r="R4" s="95"/>
      <c r="S4" s="95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5"/>
      <c r="Q5" s="95"/>
      <c r="R5" s="95"/>
      <c r="S5" s="95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8"/>
      <c r="Q11" s="82" t="s">
        <v>56</v>
      </c>
      <c r="R11" s="79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topLeftCell="A3"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2016-12-08T16:51:56Z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