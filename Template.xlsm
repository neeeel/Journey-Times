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 activeTab="5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</sheets>
  <definedNames>
    <definedName name="_xlnm.Print_Area" localSheetId="1">'Duration Summary'!$A$1:$W$47</definedName>
    <definedName name="_xlnm.Print_Area" localSheetId="0">'Job Details'!$A$1:$D$18</definedName>
    <definedName name="_xlnm.Print_Area" localSheetId="4">'Journey Duration'!$A$1:$W$6</definedName>
    <definedName name="_xlnm.Print_Area" localSheetId="5">'Journey Speeds'!$A$1:$W$5</definedName>
    <definedName name="_xlnm.Print_Area" localSheetId="3">'Journey Times'!$A$1:$X$5</definedName>
    <definedName name="_xlnm.Print_Area" localSheetId="2">'Location - Distance'!$A$1:$X$46</definedName>
  </definedNames>
  <calcPr calcId="162913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2" i="1"/>
  <c r="T3" i="1"/>
  <c r="T4" i="1"/>
</calcChain>
</file>

<file path=xl/sharedStrings.xml><?xml version="1.0" encoding="utf-8"?>
<sst xmlns="http://schemas.openxmlformats.org/spreadsheetml/2006/main" count="20" uniqueCount="20">
  <si>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</si>
  <si>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</si>
  <si>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</si>
  <si>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</si>
  <si>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</si>
  <si>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</si>
  <si>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</si>
  <si>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</si>
  <si>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</si>
  <si>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</si>
  <si>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</si>
  <si>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</si>
  <si>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</si>
  <si>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</si>
  <si>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</si>
  <si>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</si>
  <si>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</si>
  <si>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</si>
  <si>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TP 1</t>
  </si>
  <si>
    <t>TP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</si>
</sst>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1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59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9" fontId="0" fillId="0" borderId="0" xfId="0" applyNumberFormat="1"/>
    <xf numFmtId="14" fontId="0" fillId="0" borderId="0" xfId="3" applyNumberFormat="1" applyFont="1"/>
    <xf numFmtId="0" fontId="0" fillId="0" borderId="0" xfId="3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zoomScaleNormal="100" zoomScaleSheetLayoutView="75" workbookViewId="0">
      <selection activeCell="B5" sqref="B5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47" t="s">
        <v>6</v>
      </c>
      <c r="C14" s="48"/>
      <c r="D14" s="20"/>
      <c r="E14" s="21"/>
      <c r="F14" s="17"/>
    </row>
    <row r="15" spans="1:6" ht="30" customHeight="1" x14ac:dyDescent="0.2">
      <c r="A15" s="16"/>
      <c r="B15" s="47"/>
      <c r="C15" s="48"/>
      <c r="D15" s="20"/>
      <c r="E15" s="21"/>
      <c r="F15" s="17"/>
    </row>
    <row r="16" spans="1:6" ht="30" customHeight="1" x14ac:dyDescent="0.2">
      <c r="A16" s="16"/>
      <c r="B16" s="49"/>
      <c r="C16" s="50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zoomScaleNormal="100" workbookViewId="0">
      <selection activeCell="F27" sqref="F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12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zoomScaleNormal="100" zoomScaleSheetLayoutView="90" workbookViewId="0">
      <selection activeCell="Q13" sqref="Q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58" t="s">
        <v>13</v>
      </c>
      <c r="G2" s="58"/>
      <c r="H2" s="58"/>
      <c r="I2" s="58"/>
      <c r="U2" s="52">
        <f>'Job Details'!$C$7</f>
        <v>0</v>
      </c>
      <c r="V2" s="53"/>
      <c r="W2" s="53"/>
      <c r="X2" s="53"/>
    </row>
    <row r="3" spans="1:24" s="5" customFormat="1" x14ac:dyDescent="0.2">
      <c r="B3" s="6"/>
      <c r="C3" s="7"/>
      <c r="D3" s="7"/>
      <c r="F3" s="58"/>
      <c r="G3" s="58"/>
      <c r="H3" s="58"/>
      <c r="I3" s="58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54">
        <f>'Job Details'!$C$8</f>
        <v>0</v>
      </c>
      <c r="V3" s="54"/>
      <c r="W3" s="54"/>
      <c r="X3" s="54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55">
        <f>'Job Details'!$C$10</f>
        <v>0</v>
      </c>
      <c r="V4" s="55"/>
      <c r="W4" s="55"/>
      <c r="X4" s="55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6" t="s">
        <v>18</v>
      </c>
      <c r="E7" s="46" t="s">
        <v>19</v>
      </c>
      <c r="F7" s="44"/>
    </row>
    <row r="8" spans="1:24" x14ac:dyDescent="0.2">
      <c r="A8" s="13"/>
      <c r="B8" s="56" t="s">
        <v>9</v>
      </c>
      <c r="C8" s="57"/>
      <c r="D8" s="45">
        <v>0</v>
      </c>
      <c r="E8" s="45">
        <v>1.023268134046075</v>
      </c>
      <c r="F8" s="44"/>
    </row>
    <row r="9" spans="1:24" x14ac:dyDescent="0.2">
      <c r="A9" s="13"/>
      <c r="B9" s="56" t="s">
        <v>8</v>
      </c>
      <c r="C9" s="56"/>
      <c r="D9" s="45">
        <v>0</v>
      </c>
      <c r="E9" s="45">
        <v>1.023268134046075</v>
      </c>
      <c r="F9" s="44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51" t="s">
        <v>14</v>
      </c>
      <c r="F2" s="51"/>
      <c r="G2" s="51"/>
      <c r="H2" s="51"/>
      <c r="U2" s="52">
        <f>'Job Details'!$C$7</f>
        <v>0</v>
      </c>
      <c r="V2" s="53"/>
      <c r="W2" s="53"/>
      <c r="X2" s="53"/>
    </row>
    <row r="3" spans="1:24" x14ac:dyDescent="0.2">
      <c r="E3" s="51"/>
      <c r="F3" s="51"/>
      <c r="G3" s="51"/>
      <c r="H3" s="51"/>
      <c r="U3" s="54">
        <f>'Job Details'!$C$8</f>
        <v>0</v>
      </c>
      <c r="V3" s="54"/>
      <c r="W3" s="54"/>
      <c r="X3" s="54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55">
        <f>'Job Details'!$C$10</f>
        <v>0</v>
      </c>
      <c r="V4" s="55"/>
      <c r="W4" s="55"/>
      <c r="X4" s="55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15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tabSelected="1" zoomScaleNormal="100" workbookViewId="0">
      <selection activeCell="B6" sqref="B6:F2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51" t="s">
        <v>16</v>
      </c>
      <c r="F2" s="51"/>
      <c r="G2" s="51"/>
      <c r="H2" s="51"/>
      <c r="T2" s="52">
        <f>'Job Details'!$C$7</f>
        <v>0</v>
      </c>
      <c r="U2" s="53"/>
      <c r="V2" s="53"/>
      <c r="W2" s="53"/>
    </row>
    <row r="3" spans="1:23" x14ac:dyDescent="0.2">
      <c r="E3" s="51"/>
      <c r="F3" s="51"/>
      <c r="G3" s="51"/>
      <c r="H3" s="51"/>
      <c r="T3" s="54">
        <f>'Job Details'!$C$8</f>
        <v>0</v>
      </c>
      <c r="U3" s="54"/>
      <c r="V3" s="54"/>
      <c r="W3" s="54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5">
        <f>'Job Details'!$C$10</f>
        <v>0</v>
      </c>
      <c r="U4" s="55"/>
      <c r="V4" s="55"/>
      <c r="W4" s="55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7"/>
  <sheetViews>
    <sheetView workbookViewId="0">
      <selection activeCell="G16" sqref="G16"/>
    </sheetView>
  </sheetViews>
  <sheetFormatPr defaultColWidth="11.42578125" defaultRowHeight="12.75" x14ac:dyDescent="0.2"/>
  <cols>
    <col min="1" max="1" width="11.5703125" style="43" bestFit="1" customWidth="1"/>
    <col min="2" max="2" width="10.5703125" style="43" bestFit="1" customWidth="1"/>
    <col min="3" max="3" width="11.5703125" style="43" bestFit="1" customWidth="1"/>
  </cols>
  <sheetData>
    <row r="1" spans="1:5" x14ac:dyDescent="0.2">
      <c r="A1"/>
      <c r="B1"/>
      <c r="C1"/>
    </row>
    <row r="2" spans="1:5" x14ac:dyDescent="0.2">
      <c r="A2" s="41"/>
      <c r="B2" s="41"/>
      <c r="C2" s="42"/>
      <c r="D2" s="41"/>
      <c r="E2" s="41"/>
    </row>
    <row r="3" spans="1:5" x14ac:dyDescent="0.2">
      <c r="A3" s="41"/>
      <c r="B3" s="41"/>
      <c r="C3" s="42"/>
      <c r="D3" s="41"/>
      <c r="E3" s="41"/>
    </row>
    <row r="4" spans="1:5" x14ac:dyDescent="0.2">
      <c r="A4" s="41"/>
      <c r="B4" s="41"/>
      <c r="C4" s="42"/>
      <c r="D4" s="41"/>
      <c r="E4" s="41"/>
    </row>
    <row r="5" spans="1:5" x14ac:dyDescent="0.2">
      <c r="A5" s="41"/>
      <c r="B5" s="41"/>
      <c r="C5" s="42"/>
      <c r="D5" s="41"/>
      <c r="E5" s="41"/>
    </row>
    <row r="6" spans="1:5" x14ac:dyDescent="0.2">
      <c r="A6" s="41"/>
      <c r="B6" s="41"/>
      <c r="C6" s="42"/>
      <c r="D6" s="41"/>
      <c r="E6" s="41"/>
    </row>
    <row r="7" spans="1:5" x14ac:dyDescent="0.2">
      <c r="A7" s="41"/>
      <c r="B7" s="41"/>
      <c r="C7" s="42"/>
      <c r="D7" s="41"/>
      <c r="E7" s="41"/>
    </row>
    <row r="8" spans="1:5" x14ac:dyDescent="0.2">
      <c r="A8" s="41"/>
      <c r="B8" s="41"/>
      <c r="C8" s="42"/>
      <c r="D8" s="41"/>
      <c r="E8" s="41"/>
    </row>
    <row r="9" spans="1:5" x14ac:dyDescent="0.2">
      <c r="A9" s="41"/>
      <c r="B9" s="41"/>
      <c r="C9" s="42"/>
      <c r="D9" s="41"/>
      <c r="E9" s="41"/>
    </row>
    <row r="10" spans="1:5" x14ac:dyDescent="0.2">
      <c r="A10" s="41"/>
      <c r="B10" s="41"/>
      <c r="C10" s="42"/>
      <c r="D10" s="41"/>
      <c r="E10" s="41"/>
    </row>
    <row r="11" spans="1:5" x14ac:dyDescent="0.2">
      <c r="A11"/>
      <c r="B11"/>
      <c r="C11" s="42"/>
    </row>
    <row r="12" spans="1:5" x14ac:dyDescent="0.2">
      <c r="A12"/>
      <c r="B12"/>
      <c r="C12" s="42"/>
    </row>
    <row r="13" spans="1:5" x14ac:dyDescent="0.2">
      <c r="A13"/>
      <c r="B13"/>
      <c r="C13" s="42"/>
    </row>
    <row r="14" spans="1:5" x14ac:dyDescent="0.2">
      <c r="A14"/>
      <c r="B14"/>
      <c r="C14" s="42"/>
    </row>
    <row r="15" spans="1:5" x14ac:dyDescent="0.2">
      <c r="A15"/>
      <c r="B15"/>
      <c r="C15" s="42"/>
    </row>
    <row r="16" spans="1:5" x14ac:dyDescent="0.2">
      <c r="A16"/>
      <c r="B16"/>
      <c r="C16" s="42"/>
    </row>
    <row r="17" spans="1:3" x14ac:dyDescent="0.2">
      <c r="A17"/>
      <c r="B17"/>
      <c r="C17" s="42"/>
    </row>
    <row r="18" spans="1:3" x14ac:dyDescent="0.2">
      <c r="A18"/>
      <c r="B18"/>
      <c r="C18" s="42"/>
    </row>
    <row r="19" spans="1:3" x14ac:dyDescent="0.2">
      <c r="A19"/>
      <c r="B19"/>
      <c r="C19" s="42"/>
    </row>
    <row r="20" spans="1:3" x14ac:dyDescent="0.2">
      <c r="A20"/>
      <c r="B20"/>
      <c r="C20" s="42"/>
    </row>
    <row r="21" spans="1:3" x14ac:dyDescent="0.2">
      <c r="A21"/>
      <c r="B21"/>
      <c r="C21" s="42"/>
    </row>
    <row r="22" spans="1:3" x14ac:dyDescent="0.2">
      <c r="A22"/>
      <c r="B22"/>
      <c r="C22" s="42"/>
    </row>
    <row r="23" spans="1:3" x14ac:dyDescent="0.2">
      <c r="A23"/>
      <c r="B23"/>
      <c r="C23" s="42"/>
    </row>
    <row r="24" spans="1:3" x14ac:dyDescent="0.2">
      <c r="A24"/>
      <c r="B24"/>
      <c r="C24" s="42"/>
    </row>
    <row r="25" spans="1:3" x14ac:dyDescent="0.2">
      <c r="A25"/>
      <c r="B25"/>
      <c r="C25" s="42"/>
    </row>
    <row r="26" spans="1:3" x14ac:dyDescent="0.2">
      <c r="A26"/>
      <c r="B26"/>
      <c r="C26" s="42"/>
    </row>
    <row r="27" spans="1:3" x14ac:dyDescent="0.2">
      <c r="A27"/>
      <c r="B27"/>
      <c r="C27" s="41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6" sqref="F16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'Duration Summary'!Print_Area</vt:lpstr>
      <vt:lpstr>'Job Details'!Print_Area</vt:lpstr>
      <vt:lpstr>'Journey Duration'!Print_Area</vt:lpstr>
      <vt:lpstr>'Journey Speeds'!Print_Area</vt:lpstr>
      <vt:lpstr>'Journey Times'!Print_Area</vt:lpstr>
      <vt:lpstr>'Location - Distance'!Print_Area</vt:lpstr>
    </vt:vector>
  </TitlesOfParts>
  <Company>COU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2016-12-01T14:06:36Z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