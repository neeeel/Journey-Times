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NWatson\PycharmProjects\JourneyTimes\"/>
    </mc:Choice>
  </mc:AlternateContent>
  <bookViews>
    <workbookView xWindow="240" yWindow="285" windowWidth="14955" windowHeight="8190" tabRatio="953" activeTab="7"/>
  </bookViews>
  <sheets>
    <sheet name="Job Details" sheetId="13" r:id="rId1"/>
    <sheet name="Duration Summary" sheetId="1" r:id="rId2"/>
    <sheet name="Location - Distance" sheetId="12" r:id="rId3"/>
    <sheet name="Journey Times" sheetId="16" r:id="rId4"/>
    <sheet name="Journey Duration" sheetId="17" r:id="rId5"/>
    <sheet name="Journey Speeds" sheetId="18" r:id="rId6"/>
    <sheet name="Temp" sheetId="22" r:id="rId7"/>
    <sheet name="Raw Data" sheetId="23" r:id="rId8"/>
  </sheets>
  <definedNames>
    <definedName name="_xlnm.Print_Area" localSheetId="1">'Duration Summary'!$A$1:$W$47</definedName>
    <definedName name="_xlnm.Print_Area" localSheetId="0">'Job Details'!$A$1:$D$18</definedName>
    <definedName name="_xlnm.Print_Area" localSheetId="4">'Journey Duration'!$A$1:$W$6</definedName>
    <definedName name="_xlnm.Print_Area" localSheetId="5">'Journey Speeds'!$A$1:$W$5</definedName>
    <definedName name="_xlnm.Print_Area" localSheetId="3">'Journey Times'!$A$1:$X$5</definedName>
    <definedName name="_xlnm.Print_Area" localSheetId="2">'Location - Distance'!$A$1:$X$46</definedName>
  </definedNames>
  <calcPr calcId="152511"/>
</workbook>
</file>

<file path=xl/calcChain.xml><?xml version="1.0" encoding="utf-8"?>
<calcChain xmlns="http://schemas.openxmlformats.org/spreadsheetml/2006/main">
  <c r="T4" i="18" l="1"/>
  <c r="T3" i="18"/>
  <c r="T2" i="18"/>
  <c r="T4" i="17"/>
  <c r="T3" i="17"/>
  <c r="T2" i="17"/>
  <c r="U4" i="16"/>
  <c r="U3" i="16"/>
  <c r="U2" i="16"/>
  <c r="U4" i="12"/>
  <c r="U3" i="12"/>
  <c r="U2" i="12"/>
  <c r="T2" i="1"/>
  <c r="T3" i="1"/>
  <c r="T4" i="1"/>
</calcChain>
</file>

<file path=xl/sharedStrings.xml><?xml version="1.0" encoding="utf-8"?>
<sst xmlns="http://schemas.openxmlformats.org/spreadsheetml/2006/main" count="26" uniqueCount="26">
  <si>
    <t>Client:</t>
  </si>
  <si>
    <t>Survey Period:</t>
  </si>
  <si>
    <t>Survey Date:</t>
  </si>
  <si>
    <t>Project:</t>
  </si>
  <si>
    <t>Method:</t>
  </si>
  <si>
    <t>Incidents / Observations:</t>
  </si>
  <si>
    <t>There were no incidents reported over the survey period.</t>
  </si>
  <si>
    <t>Distance</t>
  </si>
  <si>
    <t>Cumulative Distance</t>
  </si>
  <si>
    <t>Distance to TPs</t>
  </si>
  <si>
    <t>Timing Point Locations</t>
  </si>
  <si>
    <t>Journey Time Survey</t>
  </si>
  <si>
    <t>Duration Summary</t>
  </si>
  <si>
    <t>Location / Distance</t>
  </si>
  <si>
    <t>Journey Times</t>
  </si>
  <si>
    <t>Journey Durations</t>
  </si>
  <si>
    <t>Journey Speeds</t>
  </si>
  <si>
    <t>Route and Direction:</t>
  </si>
  <si>
    <t>09:00</t>
  </si>
  <si>
    <t>10:00</t>
  </si>
  <si>
    <t>12:00</t>
  </si>
  <si>
    <t>14:00</t>
  </si>
  <si>
    <t>15:00</t>
  </si>
  <si>
    <t>17:00</t>
  </si>
  <si>
    <t>TP 1</t>
  </si>
  <si>
    <t>TP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</si>
</sst>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[$€-2]* #,##0.00_-;\-[$€-2]* #,##0.00_-;_-[$€-2]* &quot;-&quot;??_-"/>
    <numFmt numFmtId="165" formatCode="dddd\ dd/mm/yyyy"/>
    <numFmt numFmtId="166" formatCode="dddd\ dd\ mmmm\ yyyy"/>
    <numFmt numFmtId="167" formatCode="[$-F400]h:mm:ss\ AM/PM"/>
    <numFmt numFmtId="168" formatCode="0.000"/>
  </numFmts>
  <fonts count="1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10"/>
      <name val="Arial"/>
      <family val="2"/>
    </font>
    <font>
      <sz val="16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name val="Calibri"/>
      <family val="2"/>
      <scheme val="minor"/>
    </font>
    <font>
      <b/>
      <u/>
      <sz val="16"/>
      <name val="Arial"/>
      <family val="2"/>
    </font>
    <font>
      <b/>
      <sz val="18"/>
      <name val="Arial"/>
      <family val="2"/>
    </font>
    <font>
      <sz val="9"/>
      <name val="Calibri"/>
      <family val="2"/>
    </font>
    <font>
      <sz val="10"/>
      <color theme="0" tint="-0.499984740745262"/>
      <name val="Arial"/>
      <family val="2"/>
    </font>
    <font>
      <b/>
      <sz val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41B4D"/>
        <bgColor indexed="64"/>
      </patternFill>
    </fill>
    <fill>
      <patternFill patternType="solid">
        <fgColor rgb="FF63666A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/>
    <xf numFmtId="0" fontId="3" fillId="0" borderId="0"/>
  </cellStyleXfs>
  <cellXfs count="59">
    <xf numFmtId="0" fontId="0" fillId="0" borderId="0" xfId="0"/>
    <xf numFmtId="0" fontId="0" fillId="0" borderId="1" xfId="0" applyBorder="1"/>
    <xf numFmtId="0" fontId="0" fillId="0" borderId="0" xfId="0" applyBorder="1"/>
    <xf numFmtId="0" fontId="3" fillId="0" borderId="0" xfId="2" applyProtection="1"/>
    <xf numFmtId="0" fontId="2" fillId="0" borderId="0" xfId="2" applyFont="1" applyAlignment="1" applyProtection="1">
      <alignment horizontal="right"/>
    </xf>
    <xf numFmtId="0" fontId="3" fillId="0" borderId="0" xfId="2" applyAlignment="1" applyProtection="1"/>
    <xf numFmtId="0" fontId="2" fillId="0" borderId="0" xfId="2" applyFont="1" applyFill="1" applyBorder="1" applyAlignment="1" applyProtection="1"/>
    <xf numFmtId="0" fontId="3" fillId="0" borderId="0" xfId="2" applyFill="1" applyBorder="1" applyAlignment="1" applyProtection="1"/>
    <xf numFmtId="0" fontId="3" fillId="0" borderId="1" xfId="2" applyBorder="1" applyAlignment="1" applyProtection="1"/>
    <xf numFmtId="0" fontId="2" fillId="0" borderId="1" xfId="2" applyFont="1" applyFill="1" applyBorder="1" applyAlignment="1" applyProtection="1"/>
    <xf numFmtId="0" fontId="3" fillId="0" borderId="1" xfId="2" applyFill="1" applyBorder="1" applyAlignment="1" applyProtection="1"/>
    <xf numFmtId="0" fontId="3" fillId="0" borderId="0" xfId="2" applyBorder="1" applyAlignment="1" applyProtection="1"/>
    <xf numFmtId="0" fontId="3" fillId="0" borderId="0" xfId="2" applyFill="1" applyBorder="1" applyProtection="1"/>
    <xf numFmtId="0" fontId="3" fillId="0" borderId="0" xfId="2" applyBorder="1"/>
    <xf numFmtId="0" fontId="3" fillId="0" borderId="0" xfId="2"/>
    <xf numFmtId="0" fontId="3" fillId="0" borderId="0" xfId="2" applyFill="1" applyBorder="1"/>
    <xf numFmtId="0" fontId="5" fillId="2" borderId="0" xfId="2" applyFont="1" applyFill="1"/>
    <xf numFmtId="0" fontId="7" fillId="0" borderId="0" xfId="2" applyFont="1"/>
    <xf numFmtId="0" fontId="8" fillId="2" borderId="0" xfId="2" applyFont="1" applyFill="1" applyAlignment="1">
      <alignment horizontal="left" vertical="center"/>
    </xf>
    <xf numFmtId="0" fontId="8" fillId="3" borderId="0" xfId="2" applyFont="1" applyFill="1" applyAlignment="1" applyProtection="1">
      <alignment horizontal="left" vertical="center" shrinkToFit="1"/>
      <protection locked="0"/>
    </xf>
    <xf numFmtId="0" fontId="5" fillId="0" borderId="0" xfId="2" applyFont="1" applyFill="1"/>
    <xf numFmtId="0" fontId="7" fillId="0" borderId="0" xfId="2" applyFont="1" applyFill="1"/>
    <xf numFmtId="166" fontId="8" fillId="2" borderId="0" xfId="0" applyNumberFormat="1" applyFont="1" applyFill="1" applyAlignment="1" applyProtection="1">
      <alignment horizontal="left" vertical="center" shrinkToFit="1"/>
      <protection locked="0"/>
    </xf>
    <xf numFmtId="0" fontId="3" fillId="0" borderId="0" xfId="2" applyFill="1" applyAlignment="1"/>
    <xf numFmtId="166" fontId="8" fillId="3" borderId="0" xfId="2" applyNumberFormat="1" applyFont="1" applyFill="1" applyAlignment="1" applyProtection="1">
      <alignment horizontal="left" vertical="center" shrinkToFit="1"/>
      <protection locked="0"/>
    </xf>
    <xf numFmtId="0" fontId="8" fillId="2" borderId="3" xfId="2" applyFont="1" applyFill="1" applyBorder="1" applyAlignment="1">
      <alignment horizontal="left" vertical="center"/>
    </xf>
    <xf numFmtId="166" fontId="6" fillId="3" borderId="4" xfId="2" applyNumberFormat="1" applyFont="1" applyFill="1" applyBorder="1" applyAlignment="1" applyProtection="1">
      <alignment horizontal="left" vertical="center" shrinkToFit="1"/>
      <protection locked="0"/>
    </xf>
    <xf numFmtId="0" fontId="6" fillId="2" borderId="0" xfId="2" applyFont="1" applyFill="1"/>
    <xf numFmtId="0" fontId="6" fillId="0" borderId="0" xfId="2" applyFont="1" applyFill="1" applyAlignment="1" applyProtection="1">
      <alignment horizontal="center" vertical="top"/>
      <protection locked="0"/>
    </xf>
    <xf numFmtId="0" fontId="3" fillId="0" borderId="0" xfId="2" applyFill="1"/>
    <xf numFmtId="0" fontId="0" fillId="0" borderId="9" xfId="0" applyBorder="1"/>
    <xf numFmtId="165" fontId="2" fillId="0" borderId="0" xfId="0" applyNumberFormat="1" applyFont="1" applyBorder="1" applyAlignment="1">
      <alignment horizontal="right"/>
    </xf>
    <xf numFmtId="0" fontId="0" fillId="0" borderId="8" xfId="0" applyBorder="1"/>
    <xf numFmtId="0" fontId="11" fillId="0" borderId="0" xfId="2" applyFont="1" applyFill="1" applyBorder="1" applyProtection="1"/>
    <xf numFmtId="0" fontId="0" fillId="0" borderId="0" xfId="0" applyFill="1" applyBorder="1"/>
    <xf numFmtId="0" fontId="3" fillId="0" borderId="3" xfId="2" applyFill="1" applyBorder="1"/>
    <xf numFmtId="0" fontId="0" fillId="5" borderId="0" xfId="0" applyFill="1" applyAlignment="1"/>
    <xf numFmtId="0" fontId="0" fillId="6" borderId="0" xfId="0" applyFill="1" applyAlignment="1"/>
    <xf numFmtId="0" fontId="0" fillId="0" borderId="1" xfId="0" applyBorder="1" applyAlignment="1">
      <alignment horizontal="center"/>
    </xf>
    <xf numFmtId="21" fontId="13" fillId="0" borderId="0" xfId="0" applyNumberFormat="1" applyFont="1"/>
    <xf numFmtId="0" fontId="14" fillId="0" borderId="0" xfId="0" applyFont="1"/>
    <xf numFmtId="19" fontId="0" fillId="0" borderId="0" xfId="0" applyNumberFormat="1"/>
    <xf numFmtId="14" fontId="0" fillId="0" borderId="0" xfId="3" applyNumberFormat="1" applyFont="1"/>
    <xf numFmtId="0" fontId="0" fillId="0" borderId="0" xfId="3" applyFont="1"/>
    <xf numFmtId="168" fontId="13" fillId="0" borderId="0" xfId="2" applyNumberFormat="1" applyFont="1" applyAlignment="1">
      <alignment horizontal="center"/>
    </xf>
    <xf numFmtId="168" fontId="13" fillId="0" borderId="2" xfId="2" applyNumberFormat="1" applyFont="1" applyBorder="1" applyAlignment="1">
      <alignment horizontal="center"/>
    </xf>
    <xf numFmtId="168" fontId="15" fillId="4" borderId="2" xfId="2" applyNumberFormat="1" applyFont="1" applyFill="1" applyBorder="1" applyAlignment="1">
      <alignment horizontal="center"/>
    </xf>
    <xf numFmtId="0" fontId="9" fillId="2" borderId="5" xfId="2" applyFont="1" applyFill="1" applyBorder="1" applyAlignment="1">
      <alignment horizontal="left" vertical="top" wrapText="1"/>
    </xf>
    <xf numFmtId="0" fontId="9" fillId="2" borderId="6" xfId="2" applyFont="1" applyFill="1" applyBorder="1" applyAlignment="1">
      <alignment horizontal="left" vertical="top" wrapText="1"/>
    </xf>
    <xf numFmtId="0" fontId="9" fillId="2" borderId="7" xfId="2" applyFont="1" applyFill="1" applyBorder="1" applyAlignment="1">
      <alignment horizontal="left" vertical="top" wrapText="1"/>
    </xf>
    <xf numFmtId="0" fontId="9" fillId="2" borderId="8" xfId="2" applyFont="1" applyFill="1" applyBorder="1" applyAlignment="1">
      <alignment horizontal="left" vertical="top" wrapText="1"/>
    </xf>
    <xf numFmtId="0" fontId="1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right"/>
    </xf>
    <xf numFmtId="0" fontId="2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10" fillId="4" borderId="2" xfId="0" applyFont="1" applyFill="1" applyBorder="1" applyAlignment="1">
      <alignment horizontal="center"/>
    </xf>
    <xf numFmtId="167" fontId="10" fillId="4" borderId="2" xfId="0" applyNumberFormat="1" applyFont="1" applyFill="1" applyBorder="1" applyAlignment="1">
      <alignment horizontal="center"/>
    </xf>
    <xf numFmtId="0" fontId="12" fillId="0" borderId="0" xfId="2" applyFont="1" applyAlignment="1" applyProtection="1">
      <alignment horizontal="center" vertical="center"/>
    </xf>
  </cellXfs>
  <cellStyles count="6">
    <cellStyle name="Euro" xfId="1"/>
    <cellStyle name="Normal" xfId="0" builtinId="0"/>
    <cellStyle name="Normal 2" xfId="2"/>
    <cellStyle name="Normal 2 2" xfId="3"/>
    <cellStyle name="Normal 3" xfId="4"/>
    <cellStyle name="Normal 4" xfId="5"/>
  </cellStyles>
  <dxfs count="0"/>
  <tableStyles count="0" defaultTableStyle="TableStyleMedium9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877958</xdr:colOff>
      <xdr:row>1</xdr:row>
      <xdr:rowOff>231913</xdr:rowOff>
    </xdr:from>
    <xdr:to>
      <xdr:col>2</xdr:col>
      <xdr:colOff>1881935</xdr:colOff>
      <xdr:row>4</xdr:row>
      <xdr:rowOff>91108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5697" y="612913"/>
          <a:ext cx="3389368" cy="1002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161925</xdr:colOff>
      <xdr:row>3</xdr:row>
      <xdr:rowOff>161339</xdr:rowOff>
    </xdr:to>
    <xdr:pic>
      <xdr:nvPicPr>
        <xdr:cNvPr id="10" name="Picture 9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8"/>
  <sheetViews>
    <sheetView showGridLines="0" zoomScaleNormal="100" zoomScaleSheetLayoutView="75" workbookViewId="0">
      <selection activeCell="G9" sqref="G9"/>
    </sheetView>
  </sheetViews>
  <sheetFormatPr defaultRowHeight="12.75" x14ac:dyDescent="0.2"/>
  <cols>
    <col min="1" max="1" width="21.85546875" style="14" customWidth="1"/>
    <col min="2" max="2" width="35.7109375" style="14" customWidth="1"/>
    <col min="3" max="3" width="52.28515625" style="14" customWidth="1"/>
    <col min="4" max="4" width="15.42578125" style="14" customWidth="1"/>
    <col min="5" max="16384" width="9.140625" style="14"/>
  </cols>
  <sheetData>
    <row r="1" spans="1:6" ht="30" customHeight="1" x14ac:dyDescent="0.2">
      <c r="A1" s="36"/>
      <c r="B1" s="36"/>
      <c r="C1" s="36"/>
      <c r="D1" s="36"/>
    </row>
    <row r="2" spans="1:6" ht="30" customHeight="1" x14ac:dyDescent="0.2">
      <c r="A2" s="16"/>
      <c r="B2" s="16"/>
      <c r="C2" s="16"/>
      <c r="D2" s="16"/>
    </row>
    <row r="3" spans="1:6" ht="30" customHeight="1" x14ac:dyDescent="0.2">
      <c r="A3" s="16"/>
      <c r="B3" s="16"/>
      <c r="C3" s="16"/>
      <c r="D3" s="16"/>
    </row>
    <row r="4" spans="1:6" ht="30" customHeight="1" x14ac:dyDescent="0.2">
      <c r="A4" s="16"/>
      <c r="B4" s="16"/>
      <c r="C4" s="16"/>
      <c r="D4" s="16"/>
    </row>
    <row r="5" spans="1:6" ht="30" customHeight="1" x14ac:dyDescent="0.2">
      <c r="A5" s="16"/>
      <c r="B5" s="16"/>
      <c r="C5" s="16"/>
      <c r="D5" s="16"/>
      <c r="E5" s="17"/>
      <c r="F5" s="17"/>
    </row>
    <row r="6" spans="1:6" ht="30" customHeight="1" x14ac:dyDescent="0.2">
      <c r="A6" s="16"/>
      <c r="B6" s="18" t="s">
        <v>0</v>
      </c>
      <c r="C6" s="19"/>
      <c r="D6" s="20"/>
      <c r="E6" s="21"/>
      <c r="F6" s="17"/>
    </row>
    <row r="7" spans="1:6" ht="30" customHeight="1" x14ac:dyDescent="0.2">
      <c r="A7" s="16"/>
      <c r="B7" s="18" t="s">
        <v>3</v>
      </c>
      <c r="C7" s="19"/>
      <c r="D7" s="20"/>
      <c r="E7" s="21"/>
      <c r="F7" s="17"/>
    </row>
    <row r="8" spans="1:6" ht="30" customHeight="1" x14ac:dyDescent="0.2">
      <c r="A8" s="16"/>
      <c r="B8" s="18" t="s">
        <v>2</v>
      </c>
      <c r="C8" s="22"/>
      <c r="D8" s="23"/>
      <c r="E8" s="23"/>
      <c r="F8" s="17"/>
    </row>
    <row r="9" spans="1:6" ht="30" customHeight="1" x14ac:dyDescent="0.2">
      <c r="A9" s="16"/>
      <c r="B9" s="18" t="s">
        <v>1</v>
      </c>
      <c r="C9" s="24"/>
      <c r="D9" s="23"/>
      <c r="E9" s="21"/>
      <c r="F9" s="17"/>
    </row>
    <row r="10" spans="1:6" ht="30" customHeight="1" x14ac:dyDescent="0.2">
      <c r="A10" s="16"/>
      <c r="B10" s="18" t="s">
        <v>17</v>
      </c>
      <c r="C10" s="24"/>
      <c r="D10" s="23"/>
      <c r="E10" s="21"/>
      <c r="F10" s="17"/>
    </row>
    <row r="11" spans="1:6" ht="30" customHeight="1" x14ac:dyDescent="0.2">
      <c r="A11" s="16"/>
      <c r="B11" s="18" t="s">
        <v>4</v>
      </c>
      <c r="C11" s="24" t="s">
        <v>11</v>
      </c>
      <c r="D11" s="20"/>
      <c r="E11" s="21"/>
      <c r="F11" s="17"/>
    </row>
    <row r="12" spans="1:6" ht="30" customHeight="1" x14ac:dyDescent="0.2">
      <c r="A12" s="16"/>
      <c r="B12" s="18"/>
      <c r="C12" s="24"/>
      <c r="D12" s="20"/>
      <c r="E12" s="21"/>
      <c r="F12" s="17"/>
    </row>
    <row r="13" spans="1:6" ht="30" customHeight="1" x14ac:dyDescent="0.2">
      <c r="A13" s="16"/>
      <c r="B13" s="25" t="s">
        <v>5</v>
      </c>
      <c r="C13" s="26"/>
      <c r="D13" s="20"/>
      <c r="E13" s="21"/>
      <c r="F13" s="17"/>
    </row>
    <row r="14" spans="1:6" ht="30" customHeight="1" x14ac:dyDescent="0.2">
      <c r="A14" s="16"/>
      <c r="B14" s="47" t="s">
        <v>6</v>
      </c>
      <c r="C14" s="48"/>
      <c r="D14" s="20"/>
      <c r="E14" s="21"/>
      <c r="F14" s="17"/>
    </row>
    <row r="15" spans="1:6" ht="30" customHeight="1" x14ac:dyDescent="0.2">
      <c r="A15" s="16"/>
      <c r="B15" s="47"/>
      <c r="C15" s="48"/>
      <c r="D15" s="20"/>
      <c r="E15" s="21"/>
      <c r="F15" s="17"/>
    </row>
    <row r="16" spans="1:6" ht="30" customHeight="1" x14ac:dyDescent="0.2">
      <c r="A16" s="16"/>
      <c r="B16" s="49"/>
      <c r="C16" s="50"/>
      <c r="D16" s="20"/>
      <c r="E16" s="21"/>
      <c r="F16" s="17"/>
    </row>
    <row r="17" spans="1:6" ht="12" customHeight="1" x14ac:dyDescent="0.3">
      <c r="A17" s="16"/>
      <c r="B17" s="27"/>
      <c r="C17" s="28"/>
      <c r="D17" s="20"/>
      <c r="E17" s="21"/>
      <c r="F17" s="17"/>
    </row>
    <row r="18" spans="1:6" ht="30" customHeight="1" x14ac:dyDescent="0.2">
      <c r="A18" s="37"/>
      <c r="B18" s="37"/>
      <c r="C18" s="37"/>
      <c r="D18" s="37"/>
      <c r="E18" s="17"/>
      <c r="F18" s="17"/>
    </row>
    <row r="19" spans="1:6" s="29" customFormat="1" x14ac:dyDescent="0.2">
      <c r="A19" s="20"/>
      <c r="B19" s="20"/>
      <c r="C19" s="20"/>
      <c r="D19" s="20"/>
    </row>
    <row r="20" spans="1:6" s="29" customFormat="1" x14ac:dyDescent="0.2">
      <c r="A20" s="20"/>
      <c r="B20" s="20"/>
      <c r="C20" s="20"/>
      <c r="D20" s="20"/>
    </row>
    <row r="21" spans="1:6" s="29" customFormat="1" x14ac:dyDescent="0.2">
      <c r="A21" s="20"/>
      <c r="B21" s="20"/>
      <c r="C21" s="20"/>
      <c r="D21" s="20"/>
    </row>
    <row r="22" spans="1:6" s="29" customFormat="1" x14ac:dyDescent="0.2">
      <c r="A22" s="20"/>
      <c r="B22" s="20"/>
      <c r="C22" s="20"/>
      <c r="D22" s="20"/>
    </row>
    <row r="23" spans="1:6" s="29" customFormat="1" x14ac:dyDescent="0.2">
      <c r="A23" s="20"/>
      <c r="B23" s="20"/>
      <c r="C23" s="20"/>
      <c r="D23" s="20"/>
    </row>
    <row r="24" spans="1:6" s="29" customFormat="1" x14ac:dyDescent="0.2">
      <c r="A24" s="20"/>
      <c r="B24" s="20"/>
      <c r="C24" s="20"/>
      <c r="D24" s="20"/>
    </row>
    <row r="25" spans="1:6" s="29" customFormat="1" x14ac:dyDescent="0.2">
      <c r="A25" s="20"/>
      <c r="B25" s="20"/>
      <c r="C25" s="20"/>
      <c r="D25" s="20"/>
    </row>
    <row r="26" spans="1:6" s="29" customFormat="1" x14ac:dyDescent="0.2">
      <c r="A26" s="20"/>
      <c r="B26" s="20"/>
      <c r="C26" s="20"/>
      <c r="D26" s="20"/>
    </row>
    <row r="27" spans="1:6" s="29" customFormat="1" x14ac:dyDescent="0.2">
      <c r="A27" s="20"/>
      <c r="B27" s="20"/>
      <c r="C27" s="20"/>
      <c r="D27" s="20"/>
    </row>
    <row r="28" spans="1:6" s="29" customFormat="1" x14ac:dyDescent="0.2">
      <c r="A28" s="20"/>
      <c r="B28" s="20"/>
      <c r="C28" s="20"/>
      <c r="D28" s="20"/>
    </row>
    <row r="29" spans="1:6" s="29" customFormat="1" x14ac:dyDescent="0.2">
      <c r="A29" s="20"/>
      <c r="B29" s="20"/>
      <c r="C29" s="20"/>
      <c r="D29" s="20"/>
    </row>
    <row r="30" spans="1:6" s="29" customFormat="1" x14ac:dyDescent="0.2">
      <c r="A30" s="20"/>
      <c r="B30" s="20"/>
      <c r="C30" s="20"/>
      <c r="D30" s="20"/>
    </row>
    <row r="31" spans="1:6" s="29" customFormat="1" x14ac:dyDescent="0.2">
      <c r="A31" s="20"/>
      <c r="B31" s="20"/>
      <c r="C31" s="20"/>
      <c r="D31" s="20"/>
    </row>
    <row r="32" spans="1:6" s="29" customFormat="1" x14ac:dyDescent="0.2">
      <c r="A32" s="20"/>
      <c r="B32" s="20"/>
      <c r="C32" s="20"/>
      <c r="D32" s="20"/>
    </row>
    <row r="33" spans="1:4" s="29" customFormat="1" x14ac:dyDescent="0.2">
      <c r="A33" s="20"/>
      <c r="B33" s="20"/>
      <c r="C33" s="20"/>
      <c r="D33" s="20"/>
    </row>
    <row r="34" spans="1:4" s="29" customFormat="1" x14ac:dyDescent="0.2">
      <c r="A34" s="20"/>
      <c r="B34" s="20"/>
      <c r="C34" s="20"/>
      <c r="D34" s="20"/>
    </row>
    <row r="35" spans="1:4" s="29" customFormat="1" x14ac:dyDescent="0.2">
      <c r="A35" s="20"/>
      <c r="B35" s="20"/>
      <c r="C35" s="20"/>
      <c r="D35" s="20"/>
    </row>
    <row r="36" spans="1:4" s="29" customFormat="1" x14ac:dyDescent="0.2">
      <c r="A36" s="20"/>
      <c r="B36" s="20"/>
      <c r="C36" s="20"/>
      <c r="D36" s="20"/>
    </row>
    <row r="37" spans="1:4" s="29" customFormat="1" x14ac:dyDescent="0.2">
      <c r="A37" s="20"/>
      <c r="B37" s="20"/>
      <c r="C37" s="20"/>
      <c r="D37" s="20"/>
    </row>
    <row r="38" spans="1:4" s="29" customFormat="1" x14ac:dyDescent="0.2">
      <c r="A38" s="20"/>
      <c r="B38" s="20"/>
      <c r="C38" s="20"/>
      <c r="D38" s="20"/>
    </row>
    <row r="39" spans="1:4" s="29" customFormat="1" x14ac:dyDescent="0.2">
      <c r="A39" s="20"/>
      <c r="B39" s="20"/>
      <c r="C39" s="20"/>
      <c r="D39" s="20"/>
    </row>
    <row r="40" spans="1:4" s="29" customFormat="1" x14ac:dyDescent="0.2">
      <c r="A40" s="20"/>
      <c r="B40" s="20"/>
      <c r="C40" s="20"/>
      <c r="D40" s="20"/>
    </row>
    <row r="41" spans="1:4" s="29" customFormat="1" x14ac:dyDescent="0.2">
      <c r="A41" s="20"/>
      <c r="B41" s="20"/>
      <c r="C41" s="20"/>
      <c r="D41" s="20"/>
    </row>
    <row r="42" spans="1:4" s="29" customFormat="1" x14ac:dyDescent="0.2">
      <c r="A42" s="20"/>
      <c r="B42" s="20"/>
      <c r="C42" s="20"/>
      <c r="D42" s="20"/>
    </row>
    <row r="43" spans="1:4" s="29" customFormat="1" x14ac:dyDescent="0.2">
      <c r="A43" s="20"/>
      <c r="B43" s="20"/>
      <c r="C43" s="20"/>
      <c r="D43" s="20"/>
    </row>
    <row r="44" spans="1:4" s="29" customFormat="1" x14ac:dyDescent="0.2">
      <c r="A44" s="20"/>
      <c r="B44" s="20"/>
      <c r="C44" s="20"/>
      <c r="D44" s="20"/>
    </row>
    <row r="45" spans="1:4" s="29" customFormat="1" x14ac:dyDescent="0.2">
      <c r="A45" s="20"/>
      <c r="B45" s="20"/>
      <c r="C45" s="20"/>
      <c r="D45" s="20"/>
    </row>
    <row r="46" spans="1:4" s="29" customFormat="1" x14ac:dyDescent="0.2">
      <c r="A46" s="20"/>
      <c r="B46" s="20"/>
      <c r="C46" s="20"/>
      <c r="D46" s="20"/>
    </row>
    <row r="47" spans="1:4" s="29" customFormat="1" x14ac:dyDescent="0.2">
      <c r="A47" s="20"/>
      <c r="B47" s="20"/>
      <c r="C47" s="20"/>
      <c r="D47" s="20"/>
    </row>
    <row r="48" spans="1:4" s="29" customFormat="1" x14ac:dyDescent="0.2">
      <c r="A48" s="20"/>
      <c r="B48" s="20"/>
      <c r="C48" s="20"/>
      <c r="D48" s="20"/>
    </row>
    <row r="49" spans="1:4" s="29" customFormat="1" x14ac:dyDescent="0.2">
      <c r="A49" s="20"/>
      <c r="B49" s="20"/>
      <c r="C49" s="20"/>
      <c r="D49" s="20"/>
    </row>
    <row r="50" spans="1:4" s="29" customFormat="1" x14ac:dyDescent="0.2">
      <c r="A50" s="20"/>
      <c r="B50" s="20"/>
      <c r="C50" s="20"/>
      <c r="D50" s="20"/>
    </row>
    <row r="51" spans="1:4" s="29" customFormat="1" x14ac:dyDescent="0.2">
      <c r="A51" s="20"/>
      <c r="B51" s="20"/>
      <c r="C51" s="20"/>
      <c r="D51" s="20"/>
    </row>
    <row r="52" spans="1:4" s="29" customFormat="1" x14ac:dyDescent="0.2">
      <c r="A52" s="20"/>
      <c r="B52" s="20"/>
      <c r="C52" s="20"/>
      <c r="D52" s="20"/>
    </row>
    <row r="53" spans="1:4" s="29" customFormat="1" x14ac:dyDescent="0.2">
      <c r="A53" s="20"/>
      <c r="B53" s="20"/>
      <c r="C53" s="20"/>
      <c r="D53" s="20"/>
    </row>
    <row r="54" spans="1:4" s="29" customFormat="1" x14ac:dyDescent="0.2"/>
    <row r="55" spans="1:4" s="29" customFormat="1" x14ac:dyDescent="0.2"/>
    <row r="56" spans="1:4" s="29" customFormat="1" x14ac:dyDescent="0.2"/>
    <row r="57" spans="1:4" s="29" customFormat="1" x14ac:dyDescent="0.2"/>
    <row r="58" spans="1:4" s="29" customFormat="1" x14ac:dyDescent="0.2"/>
  </sheetData>
  <sheetProtection selectLockedCells="1"/>
  <mergeCells count="1">
    <mergeCell ref="B14:C16"/>
  </mergeCells>
  <printOptions horizontalCentered="1"/>
  <pageMargins left="0.59055118110236227" right="0.59055118110236227" top="0.39370078740157483" bottom="0.39370078740157483" header="0" footer="0.19685039370078741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W12"/>
  <sheetViews>
    <sheetView showGridLines="0" zoomScaleNormal="100" workbookViewId="0">
      <selection activeCell="I18" sqref="I18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51" t="s">
        <v>12</v>
      </c>
      <c r="F2" s="51"/>
      <c r="G2" s="51"/>
      <c r="H2" s="51"/>
      <c r="T2" s="52">
        <f>'Job Details'!$C$7</f>
        <v>0</v>
      </c>
      <c r="U2" s="53"/>
      <c r="V2" s="53"/>
      <c r="W2" s="53"/>
    </row>
    <row r="3" spans="1:23" x14ac:dyDescent="0.2">
      <c r="E3" s="51"/>
      <c r="F3" s="51"/>
      <c r="G3" s="51"/>
      <c r="H3" s="51"/>
      <c r="T3" s="54">
        <f>'Job Details'!$C$8</f>
        <v>0</v>
      </c>
      <c r="U3" s="54"/>
      <c r="V3" s="54"/>
      <c r="W3" s="54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55">
        <f>'Job Details'!$C$10</f>
        <v>0</v>
      </c>
      <c r="U4" s="55"/>
      <c r="V4" s="55"/>
      <c r="W4" s="55"/>
    </row>
    <row r="5" spans="1:23" x14ac:dyDescent="0.2">
      <c r="A5" s="2"/>
      <c r="B5" s="2"/>
      <c r="C5" s="30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">
      <c r="A6" s="2"/>
      <c r="B6" s="2"/>
      <c r="C6" s="2"/>
      <c r="D6" s="2"/>
      <c r="E6" s="2"/>
      <c r="F6" s="2"/>
    </row>
    <row r="11" spans="1:23" s="34" customFormat="1" x14ac:dyDescent="0.2"/>
    <row r="12" spans="1:23" s="34" customFormat="1" x14ac:dyDescent="0.2"/>
  </sheetData>
  <mergeCells count="4">
    <mergeCell ref="E2:H3"/>
    <mergeCell ref="T2:W2"/>
    <mergeCell ref="T3:W3"/>
    <mergeCell ref="T4:W4"/>
  </mergeCells>
  <phoneticPr fontId="1" type="noConversion"/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X37"/>
  <sheetViews>
    <sheetView showGridLines="0" zoomScaleNormal="100" zoomScaleSheetLayoutView="90" workbookViewId="0">
      <selection activeCell="Q13" sqref="Q13"/>
    </sheetView>
  </sheetViews>
  <sheetFormatPr defaultColWidth="9.140625" defaultRowHeight="12.75" x14ac:dyDescent="0.2"/>
  <cols>
    <col min="1" max="1" width="4.5703125" style="14" customWidth="1"/>
    <col min="2" max="23" width="8.28515625" style="14" customWidth="1"/>
    <col min="24" max="24" width="4.5703125" style="14" customWidth="1"/>
    <col min="25" max="25" width="9.140625" style="14"/>
    <col min="26" max="26" width="6.42578125" style="14" customWidth="1"/>
    <col min="27" max="29" width="9.140625" style="14" customWidth="1"/>
    <col min="30" max="16384" width="9.140625" style="14"/>
  </cols>
  <sheetData>
    <row r="1" spans="1:24" s="3" customFormat="1" x14ac:dyDescent="0.2">
      <c r="V1" s="4"/>
      <c r="W1" s="4"/>
    </row>
    <row r="2" spans="1:24" s="4" customFormat="1" x14ac:dyDescent="0.2">
      <c r="F2" s="58" t="s">
        <v>13</v>
      </c>
      <c r="G2" s="58"/>
      <c r="H2" s="58"/>
      <c r="I2" s="58"/>
      <c r="U2" s="52">
        <f>'Job Details'!$C$7</f>
        <v>0</v>
      </c>
      <c r="V2" s="53"/>
      <c r="W2" s="53"/>
      <c r="X2" s="53"/>
    </row>
    <row r="3" spans="1:24" s="5" customFormat="1" x14ac:dyDescent="0.2">
      <c r="B3" s="6"/>
      <c r="C3" s="7"/>
      <c r="D3" s="7"/>
      <c r="F3" s="58"/>
      <c r="G3" s="58"/>
      <c r="H3" s="58"/>
      <c r="I3" s="58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54">
        <f>'Job Details'!$C$8</f>
        <v>0</v>
      </c>
      <c r="V3" s="54"/>
      <c r="W3" s="54"/>
      <c r="X3" s="54"/>
    </row>
    <row r="4" spans="1:24" s="11" customFormat="1" x14ac:dyDescent="0.2">
      <c r="A4" s="8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55">
        <f>'Job Details'!$C$10</f>
        <v>0</v>
      </c>
      <c r="V4" s="55"/>
      <c r="W4" s="55"/>
      <c r="X4" s="55"/>
    </row>
    <row r="5" spans="1:24" s="12" customFormat="1" x14ac:dyDescent="0.2"/>
    <row r="6" spans="1:24" s="12" customFormat="1" ht="20.25" x14ac:dyDescent="0.3">
      <c r="B6" s="33" t="s">
        <v>7</v>
      </c>
    </row>
    <row r="7" spans="1:24" x14ac:dyDescent="0.2">
      <c r="A7" s="13"/>
      <c r="B7" s="38"/>
      <c r="C7" s="32"/>
      <c r="D7" s="46" t="s">
        <v>24</v>
      </c>
      <c r="E7" s="46" t="s">
        <v>25</v>
      </c>
      <c r="F7" s="44"/>
    </row>
    <row r="8" spans="1:24" x14ac:dyDescent="0.2">
      <c r="A8" s="13"/>
      <c r="B8" s="56" t="s">
        <v>9</v>
      </c>
      <c r="C8" s="57"/>
      <c r="D8" s="45">
        <v>0</v>
      </c>
      <c r="E8" s="45">
        <v>1.023268134046075</v>
      </c>
      <c r="F8" s="44"/>
    </row>
    <row r="9" spans="1:24" x14ac:dyDescent="0.2">
      <c r="A9" s="13"/>
      <c r="B9" s="56" t="s">
        <v>8</v>
      </c>
      <c r="C9" s="56"/>
      <c r="D9" s="45">
        <v>0</v>
      </c>
      <c r="E9" s="45">
        <v>1.023268134046075</v>
      </c>
      <c r="F9" s="44"/>
    </row>
    <row r="10" spans="1:24" x14ac:dyDescent="0.2">
      <c r="A10" s="13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3"/>
      <c r="S10" s="13"/>
      <c r="T10" s="13"/>
    </row>
    <row r="11" spans="1:24" ht="20.25" x14ac:dyDescent="0.3">
      <c r="A11" s="13"/>
      <c r="B11" s="33" t="s">
        <v>10</v>
      </c>
      <c r="C11" s="15"/>
      <c r="D11" s="13"/>
      <c r="E11" s="13"/>
      <c r="F11" s="13"/>
      <c r="G11" s="13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3"/>
      <c r="W11" s="13"/>
      <c r="X11" s="13"/>
    </row>
    <row r="12" spans="1:24" x14ac:dyDescent="0.2">
      <c r="A12" s="13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3"/>
      <c r="W12" s="13"/>
      <c r="X12" s="13"/>
    </row>
    <row r="13" spans="1:24" x14ac:dyDescent="0.2">
      <c r="A13" s="13"/>
      <c r="B13" s="3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3"/>
      <c r="W13" s="13"/>
      <c r="X13" s="13"/>
    </row>
    <row r="14" spans="1:24" x14ac:dyDescent="0.2">
      <c r="A14" s="13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3"/>
      <c r="W14" s="13"/>
      <c r="X14" s="13"/>
    </row>
    <row r="15" spans="1:24" x14ac:dyDescent="0.2">
      <c r="A15" s="13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3"/>
      <c r="W15" s="13"/>
      <c r="X15" s="13"/>
    </row>
    <row r="16" spans="1:24" x14ac:dyDescent="0.2">
      <c r="A16" s="13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3"/>
      <c r="W16" s="13"/>
      <c r="X16" s="13"/>
    </row>
    <row r="17" spans="1:24" x14ac:dyDescent="0.2">
      <c r="A17" s="13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3"/>
      <c r="W17" s="13"/>
      <c r="X17" s="13"/>
    </row>
    <row r="18" spans="1:24" x14ac:dyDescent="0.2">
      <c r="A18" s="13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3"/>
      <c r="W18" s="13"/>
      <c r="X18" s="13"/>
    </row>
    <row r="19" spans="1:24" x14ac:dyDescent="0.2">
      <c r="A19" s="13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3"/>
      <c r="W19" s="13"/>
      <c r="X19" s="13"/>
    </row>
    <row r="20" spans="1:24" x14ac:dyDescent="0.2">
      <c r="A20" s="13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3"/>
      <c r="W20" s="13"/>
      <c r="X20" s="13"/>
    </row>
    <row r="21" spans="1:24" x14ac:dyDescent="0.2">
      <c r="A21" s="13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3"/>
      <c r="W21" s="13"/>
      <c r="X21" s="13"/>
    </row>
    <row r="22" spans="1:24" x14ac:dyDescent="0.2">
      <c r="A22" s="13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3"/>
      <c r="W22" s="13"/>
      <c r="X22" s="13"/>
    </row>
    <row r="23" spans="1:24" x14ac:dyDescent="0.2">
      <c r="A23" s="13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3"/>
      <c r="W23" s="13"/>
      <c r="X23" s="13"/>
    </row>
    <row r="24" spans="1:24" x14ac:dyDescent="0.2">
      <c r="A24" s="13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3"/>
      <c r="W24" s="13"/>
      <c r="X24" s="13"/>
    </row>
    <row r="25" spans="1:24" x14ac:dyDescent="0.2">
      <c r="A25" s="13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3"/>
      <c r="W25" s="13"/>
      <c r="X25" s="13"/>
    </row>
    <row r="26" spans="1:24" x14ac:dyDescent="0.2">
      <c r="A26" s="13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3"/>
      <c r="W26" s="13"/>
      <c r="X26" s="13"/>
    </row>
    <row r="27" spans="1:24" x14ac:dyDescent="0.2">
      <c r="A27" s="13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3"/>
      <c r="W27" s="13"/>
      <c r="X27" s="13"/>
    </row>
    <row r="28" spans="1:24" x14ac:dyDescent="0.2">
      <c r="A28" s="13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3"/>
      <c r="W28" s="13"/>
      <c r="X28" s="13"/>
    </row>
    <row r="29" spans="1:24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</row>
    <row r="30" spans="1:24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</row>
    <row r="31" spans="1:24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</row>
    <row r="32" spans="1:24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</row>
    <row r="33" spans="1:24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</row>
    <row r="34" spans="1:24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</row>
    <row r="35" spans="1:24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</row>
    <row r="36" spans="1:24" x14ac:dyDescent="0.2">
      <c r="A36" s="13"/>
      <c r="X36" s="13"/>
    </row>
    <row r="37" spans="1:24" x14ac:dyDescent="0.2">
      <c r="A37" s="13"/>
      <c r="X37" s="13"/>
    </row>
  </sheetData>
  <sheetProtection selectLockedCells="1"/>
  <mergeCells count="6">
    <mergeCell ref="B9:C9"/>
    <mergeCell ref="B8:C8"/>
    <mergeCell ref="F2:I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69" fitToHeight="0" orientation="landscape" r:id="rId1"/>
  <headerFooter alignWithMargins="0"/>
  <colBreaks count="1" manualBreakCount="1">
    <brk id="26" max="37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2:X11"/>
  <sheetViews>
    <sheetView showGridLines="0" zoomScaleNormal="100" workbookViewId="0">
      <selection activeCell="B6" sqref="B6:G27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4" x14ac:dyDescent="0.2">
      <c r="E2" s="51" t="s">
        <v>14</v>
      </c>
      <c r="F2" s="51"/>
      <c r="G2" s="51"/>
      <c r="H2" s="51"/>
      <c r="U2" s="52">
        <f>'Job Details'!$C$7</f>
        <v>0</v>
      </c>
      <c r="V2" s="53"/>
      <c r="W2" s="53"/>
      <c r="X2" s="53"/>
    </row>
    <row r="3" spans="1:24" x14ac:dyDescent="0.2">
      <c r="E3" s="51"/>
      <c r="F3" s="51"/>
      <c r="G3" s="51"/>
      <c r="H3" s="51"/>
      <c r="U3" s="54">
        <f>'Job Details'!$C$8</f>
        <v>0</v>
      </c>
      <c r="V3" s="54"/>
      <c r="W3" s="54"/>
      <c r="X3" s="54"/>
    </row>
    <row r="4" spans="1:24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55">
        <f>'Job Details'!$C$10</f>
        <v>0</v>
      </c>
      <c r="V4" s="55"/>
      <c r="W4" s="55"/>
      <c r="X4" s="55"/>
    </row>
    <row r="5" spans="1:24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31"/>
      <c r="V5" s="31"/>
      <c r="W5" s="31"/>
      <c r="X5" s="31"/>
    </row>
    <row r="11" spans="1:24" x14ac:dyDescent="0.2">
      <c r="F11" s="40"/>
    </row>
  </sheetData>
  <mergeCells count="4">
    <mergeCell ref="E2:H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55" fitToHeight="0" orientation="landscape" r:id="rId1"/>
  <headerFooter alignWithMargins="0"/>
  <colBreaks count="1" manualBreakCount="1">
    <brk id="25" max="42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W45"/>
  <sheetViews>
    <sheetView showGridLines="0" topLeftCell="A3" zoomScaleNormal="100" workbookViewId="0">
      <selection activeCell="B6" sqref="B6:L44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51" t="s">
        <v>15</v>
      </c>
      <c r="F2" s="51"/>
      <c r="G2" s="51"/>
      <c r="H2" s="51"/>
      <c r="T2" s="52">
        <f>'Job Details'!$C$7</f>
        <v>0</v>
      </c>
      <c r="U2" s="53"/>
      <c r="V2" s="53"/>
      <c r="W2" s="53"/>
    </row>
    <row r="3" spans="1:23" x14ac:dyDescent="0.2">
      <c r="E3" s="51"/>
      <c r="F3" s="51"/>
      <c r="G3" s="51"/>
      <c r="H3" s="51"/>
      <c r="T3" s="54">
        <f>'Job Details'!$C$8</f>
        <v>0</v>
      </c>
      <c r="U3" s="54"/>
      <c r="V3" s="54"/>
      <c r="W3" s="54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55">
        <f>'Job Details'!$C$10</f>
        <v>0</v>
      </c>
      <c r="U4" s="55"/>
      <c r="V4" s="55"/>
      <c r="W4" s="55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31"/>
      <c r="P5" s="31"/>
      <c r="Q5" s="31"/>
      <c r="R5" s="31"/>
    </row>
    <row r="45" spans="3:9" x14ac:dyDescent="0.2">
      <c r="C45" s="39"/>
      <c r="D45" s="39"/>
      <c r="E45" s="39"/>
      <c r="F45" s="39"/>
      <c r="G45" s="39"/>
      <c r="H45" s="39"/>
      <c r="I45" s="39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W5"/>
  <sheetViews>
    <sheetView showGridLines="0" zoomScaleNormal="100" workbookViewId="0">
      <selection activeCell="B6" sqref="B6:F24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51" t="s">
        <v>16</v>
      </c>
      <c r="F2" s="51"/>
      <c r="G2" s="51"/>
      <c r="H2" s="51"/>
      <c r="T2" s="52">
        <f>'Job Details'!$C$7</f>
        <v>0</v>
      </c>
      <c r="U2" s="53"/>
      <c r="V2" s="53"/>
      <c r="W2" s="53"/>
    </row>
    <row r="3" spans="1:23" x14ac:dyDescent="0.2">
      <c r="E3" s="51"/>
      <c r="F3" s="51"/>
      <c r="G3" s="51"/>
      <c r="H3" s="51"/>
      <c r="T3" s="54">
        <f>'Job Details'!$C$8</f>
        <v>0</v>
      </c>
      <c r="U3" s="54"/>
      <c r="V3" s="54"/>
      <c r="W3" s="54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55">
        <f>'Job Details'!$C$10</f>
        <v>0</v>
      </c>
      <c r="U4" s="55"/>
      <c r="V4" s="55"/>
      <c r="W4" s="55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31"/>
      <c r="U5" s="31"/>
      <c r="V5" s="31"/>
      <c r="W5" s="31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27"/>
  <sheetViews>
    <sheetView workbookViewId="0">
      <selection activeCell="M44" sqref="M44"/>
    </sheetView>
  </sheetViews>
  <sheetFormatPr defaultColWidth="11.42578125" defaultRowHeight="12.75" x14ac:dyDescent="0.2"/>
  <cols>
    <col min="1" max="1" width="11.5703125" style="43" bestFit="1" customWidth="1"/>
    <col min="2" max="2" width="10.5703125" style="43" bestFit="1" customWidth="1"/>
    <col min="3" max="3" width="11.5703125" style="43" bestFit="1" customWidth="1"/>
  </cols>
  <sheetData>
    <row r="1" spans="1:18" x14ac:dyDescent="0.2">
      <c r="A1">
        <v>0</v>
      </c>
      <c r="B1" t="s">
        <v>18</v>
      </c>
      <c r="C1" t="s">
        <v>19</v>
      </c>
      <c r="D1">
        <v>5</v>
      </c>
      <c r="E1" t="s">
        <v>20</v>
      </c>
      <c r="F1" t="s">
        <v>21</v>
      </c>
      <c r="G1">
        <v>4</v>
      </c>
      <c r="H1" t="s">
        <v>22</v>
      </c>
      <c r="I1" t="s">
        <v>23</v>
      </c>
      <c r="J1">
        <v>2</v>
      </c>
      <c r="K1">
        <v>1.023268134046075</v>
      </c>
    </row>
    <row r="2" spans="1:18" x14ac:dyDescent="0.2">
      <c r="A2" s="41">
        <v>0.46053240740740736</v>
      </c>
      <c r="B2" s="41">
        <v>0.46155092592592589</v>
      </c>
      <c r="C2" s="42">
        <v>42528</v>
      </c>
      <c r="D2" s="41">
        <v>1.0185185185185186E-3</v>
      </c>
      <c r="E2" s="41">
        <v>1.0185185185185186E-3</v>
      </c>
      <c r="F2">
        <v>41.86</v>
      </c>
      <c r="G2">
        <v>41.86</v>
      </c>
      <c r="H2">
        <v>4.7453703703703698E-4</v>
      </c>
      <c r="I2">
        <v>9.9537037037037042E-4</v>
      </c>
      <c r="J2">
        <v>5.4398148148148144E-4</v>
      </c>
      <c r="K2">
        <v>8.3333333333333339E-4</v>
      </c>
      <c r="L2">
        <v>3.2754629629629631E-3</v>
      </c>
      <c r="M2">
        <v>50.5</v>
      </c>
      <c r="N2">
        <v>44.82</v>
      </c>
      <c r="O2">
        <v>47.02</v>
      </c>
      <c r="P2">
        <v>47.73</v>
      </c>
      <c r="Q2">
        <v>45.92</v>
      </c>
      <c r="R2">
        <v>46.99</v>
      </c>
    </row>
    <row r="3" spans="1:18" x14ac:dyDescent="0.2">
      <c r="A3" s="41">
        <v>0.46340277777777777</v>
      </c>
      <c r="B3" s="41">
        <v>0.46438657407407408</v>
      </c>
      <c r="C3" s="42">
        <v>42528</v>
      </c>
      <c r="D3" s="41">
        <v>9.8379629629629642E-4</v>
      </c>
      <c r="E3" s="41">
        <v>9.8379629629629642E-4</v>
      </c>
      <c r="F3">
        <v>43.04</v>
      </c>
      <c r="G3">
        <v>43.04</v>
      </c>
      <c r="H3">
        <v>4.6296296296296293E-4</v>
      </c>
      <c r="I3">
        <v>1.0300925925925931E-3</v>
      </c>
      <c r="J3">
        <v>5.9027777777777778E-4</v>
      </c>
      <c r="K3">
        <v>8.449074074074075E-4</v>
      </c>
      <c r="L3">
        <v>3.3680555555555551E-3</v>
      </c>
      <c r="M3">
        <v>49.94</v>
      </c>
      <c r="N3">
        <v>44.29</v>
      </c>
      <c r="O3">
        <v>45.65</v>
      </c>
      <c r="P3">
        <v>44.17</v>
      </c>
      <c r="Q3">
        <v>45.09</v>
      </c>
      <c r="R3">
        <v>45.62</v>
      </c>
    </row>
    <row r="4" spans="1:18" x14ac:dyDescent="0.2">
      <c r="A4" s="41">
        <v>0.46637731481481487</v>
      </c>
      <c r="B4" s="41">
        <v>0.46754629629629635</v>
      </c>
      <c r="C4" s="42">
        <v>42528</v>
      </c>
      <c r="D4" s="41">
        <v>1.1689814814814816E-3</v>
      </c>
      <c r="E4" s="41">
        <v>1.1689814814814816E-3</v>
      </c>
      <c r="F4">
        <v>36.119999999999997</v>
      </c>
      <c r="G4">
        <v>36.119999999999997</v>
      </c>
      <c r="H4">
        <v>4.7453703703703698E-4</v>
      </c>
      <c r="I4">
        <v>1.0532407407407411E-3</v>
      </c>
      <c r="J4">
        <v>5.9027777777777778E-4</v>
      </c>
      <c r="K4">
        <v>8.6805555555555551E-4</v>
      </c>
      <c r="L4">
        <v>3.425925925925926E-3</v>
      </c>
      <c r="M4">
        <v>49.21</v>
      </c>
      <c r="N4">
        <v>44.28</v>
      </c>
      <c r="O4">
        <v>44.94</v>
      </c>
      <c r="P4">
        <v>43.28</v>
      </c>
      <c r="Q4">
        <v>44.1</v>
      </c>
      <c r="R4">
        <v>44.9</v>
      </c>
    </row>
    <row r="5" spans="1:18" x14ac:dyDescent="0.2">
      <c r="A5" s="41">
        <v>0.46961805555555558</v>
      </c>
      <c r="B5" s="41">
        <v>0.4707175925925926</v>
      </c>
      <c r="C5" s="42">
        <v>42528</v>
      </c>
      <c r="D5" s="41">
        <v>1.0995370370370371E-3</v>
      </c>
      <c r="E5" s="41">
        <v>1.0995370370370371E-3</v>
      </c>
      <c r="F5">
        <v>38.92</v>
      </c>
      <c r="G5">
        <v>38.92</v>
      </c>
      <c r="H5">
        <v>4.8611111111111099E-4</v>
      </c>
      <c r="I5">
        <v>1.0416666666666671E-3</v>
      </c>
      <c r="J5">
        <v>5.6712962962962956E-4</v>
      </c>
      <c r="K5">
        <v>8.449074074074075E-4</v>
      </c>
      <c r="L5">
        <v>3.391203703703704E-3</v>
      </c>
      <c r="M5">
        <v>49.54</v>
      </c>
      <c r="N5">
        <v>42.46</v>
      </c>
      <c r="O5">
        <v>45.19</v>
      </c>
      <c r="P5">
        <v>45.5</v>
      </c>
      <c r="Q5">
        <v>44.77</v>
      </c>
      <c r="R5">
        <v>45.33</v>
      </c>
    </row>
    <row r="6" spans="1:18" x14ac:dyDescent="0.2">
      <c r="A6" s="41">
        <v>0.47281250000000002</v>
      </c>
      <c r="B6" s="41">
        <v>0.47385416666666669</v>
      </c>
      <c r="C6" s="42">
        <v>42528</v>
      </c>
      <c r="D6" s="41">
        <v>1.0416666666666667E-3</v>
      </c>
      <c r="E6" s="41">
        <v>1.0416666666666667E-3</v>
      </c>
      <c r="F6">
        <v>40.71</v>
      </c>
      <c r="G6">
        <v>40.71</v>
      </c>
      <c r="H6">
        <v>4.8611111111111099E-4</v>
      </c>
      <c r="I6">
        <v>1.0300925925925931E-3</v>
      </c>
      <c r="J6">
        <v>5.4398148148148144E-4</v>
      </c>
      <c r="K6">
        <v>8.449074074074075E-4</v>
      </c>
      <c r="L6">
        <v>3.3449074074074071E-3</v>
      </c>
      <c r="M6">
        <v>49.75</v>
      </c>
      <c r="N6">
        <v>43</v>
      </c>
      <c r="O6">
        <v>45.56</v>
      </c>
      <c r="P6">
        <v>46.87</v>
      </c>
      <c r="Q6">
        <v>45.49</v>
      </c>
      <c r="R6">
        <v>45.93</v>
      </c>
    </row>
    <row r="7" spans="1:18" x14ac:dyDescent="0.2">
      <c r="A7" s="41">
        <v>0.74563657407407413</v>
      </c>
      <c r="B7" s="41">
        <v>0.74663194444444436</v>
      </c>
      <c r="C7" s="42">
        <v>42528</v>
      </c>
      <c r="D7" s="41">
        <v>9.9537037037037042E-4</v>
      </c>
      <c r="E7" s="41">
        <v>9.9537037037037042E-4</v>
      </c>
      <c r="F7">
        <v>42.66</v>
      </c>
      <c r="G7">
        <v>42.66</v>
      </c>
      <c r="H7">
        <v>4.8611111111111099E-4</v>
      </c>
      <c r="I7">
        <v>1.0416666666666671E-3</v>
      </c>
      <c r="J7">
        <v>5.5555555555555556E-4</v>
      </c>
      <c r="K7">
        <v>8.9120370370370362E-4</v>
      </c>
      <c r="L7">
        <v>3.414351851851852E-3</v>
      </c>
      <c r="M7">
        <v>49.19</v>
      </c>
      <c r="N7">
        <v>43.44</v>
      </c>
      <c r="O7">
        <v>45.3</v>
      </c>
      <c r="P7">
        <v>45.13</v>
      </c>
      <c r="Q7">
        <v>43.62</v>
      </c>
      <c r="R7">
        <v>45.07</v>
      </c>
    </row>
    <row r="8" spans="1:18" x14ac:dyDescent="0.2">
      <c r="A8" s="41">
        <v>0.74853009259259251</v>
      </c>
      <c r="B8" s="41">
        <v>0.74952546296296296</v>
      </c>
      <c r="C8" s="42">
        <v>42528</v>
      </c>
      <c r="D8" s="41">
        <v>9.9537037037037042E-4</v>
      </c>
      <c r="E8" s="41">
        <v>9.9537037037037042E-4</v>
      </c>
      <c r="F8">
        <v>42.42</v>
      </c>
      <c r="G8">
        <v>42.42</v>
      </c>
      <c r="H8">
        <v>4.5138888888888892E-4</v>
      </c>
      <c r="I8">
        <v>1.006944444444444E-3</v>
      </c>
      <c r="J8">
        <v>5.9027777777777778E-4</v>
      </c>
      <c r="K8">
        <v>8.7962962962962962E-4</v>
      </c>
      <c r="L8">
        <v>3.3449074074074071E-3</v>
      </c>
      <c r="M8">
        <v>53.9</v>
      </c>
      <c r="N8">
        <v>46.16</v>
      </c>
      <c r="O8">
        <v>46.62</v>
      </c>
      <c r="P8">
        <v>43.52</v>
      </c>
      <c r="Q8">
        <v>43.24</v>
      </c>
      <c r="R8">
        <v>46.03</v>
      </c>
    </row>
    <row r="9" spans="1:18" x14ac:dyDescent="0.2">
      <c r="A9" s="41">
        <v>0.7515856481481481</v>
      </c>
      <c r="B9" s="41">
        <v>0.75258101851851855</v>
      </c>
      <c r="C9" s="42">
        <v>42528</v>
      </c>
      <c r="D9" s="41">
        <v>9.9537037037037042E-4</v>
      </c>
      <c r="E9" s="41">
        <v>9.9537037037037042E-4</v>
      </c>
      <c r="F9">
        <v>42.7</v>
      </c>
      <c r="G9">
        <v>42.7</v>
      </c>
      <c r="H9">
        <v>5.0925925925925921E-4</v>
      </c>
      <c r="I9">
        <v>1.0763888888888891E-3</v>
      </c>
      <c r="J9">
        <v>5.6712962962962956E-4</v>
      </c>
      <c r="K9">
        <v>8.7962962962962962E-4</v>
      </c>
      <c r="L9">
        <v>3.483796296296296E-3</v>
      </c>
      <c r="M9">
        <v>48.34</v>
      </c>
      <c r="N9">
        <v>40.630000000000003</v>
      </c>
      <c r="O9">
        <v>44.39</v>
      </c>
      <c r="P9">
        <v>43.73</v>
      </c>
      <c r="Q9">
        <v>43.89</v>
      </c>
      <c r="R9">
        <v>44.12</v>
      </c>
    </row>
    <row r="10" spans="1:18" x14ac:dyDescent="0.2">
      <c r="A10" s="41">
        <v>0.75450231481481478</v>
      </c>
      <c r="B10" s="41">
        <v>0.75556712962962969</v>
      </c>
      <c r="C10" s="42">
        <v>42528</v>
      </c>
      <c r="D10" s="41">
        <v>1.0648148148148147E-3</v>
      </c>
      <c r="E10" s="41">
        <v>1.0648148148148147E-3</v>
      </c>
      <c r="F10">
        <v>39.75</v>
      </c>
      <c r="G10">
        <v>39.75</v>
      </c>
      <c r="H10">
        <v>4.8611111111111099E-4</v>
      </c>
      <c r="I10">
        <v>1.1574074074074069E-3</v>
      </c>
      <c r="J10">
        <v>6.5972222222222213E-4</v>
      </c>
      <c r="K10">
        <v>9.3750000000000007E-4</v>
      </c>
      <c r="L10">
        <v>3.680555555555555E-3</v>
      </c>
      <c r="M10">
        <v>49.26</v>
      </c>
      <c r="N10">
        <v>43.29</v>
      </c>
      <c r="O10">
        <v>40.85</v>
      </c>
      <c r="P10">
        <v>38.770000000000003</v>
      </c>
      <c r="Q10">
        <v>40.799999999999997</v>
      </c>
      <c r="R10">
        <v>41.79</v>
      </c>
    </row>
    <row r="11" spans="1:18" x14ac:dyDescent="0.2">
      <c r="A11">
        <v>0.41460648148148138</v>
      </c>
      <c r="B11">
        <v>0.41504629629629619</v>
      </c>
      <c r="C11" s="42">
        <v>42528</v>
      </c>
      <c r="D11">
        <v>0.41646990740740741</v>
      </c>
      <c r="E11">
        <v>0.41701388888888891</v>
      </c>
      <c r="F11">
        <v>50.03</v>
      </c>
      <c r="G11">
        <v>46.27</v>
      </c>
      <c r="H11">
        <v>4.5138888888888892E-4</v>
      </c>
      <c r="I11">
        <v>9.7222222222222209E-4</v>
      </c>
      <c r="J11">
        <v>5.4398148148148144E-4</v>
      </c>
      <c r="K11">
        <v>8.449074074074075E-4</v>
      </c>
      <c r="L11">
        <v>3.2523148148148151E-3</v>
      </c>
      <c r="M11">
        <v>50.03</v>
      </c>
      <c r="N11">
        <v>46.27</v>
      </c>
      <c r="O11">
        <v>48.71</v>
      </c>
      <c r="P11">
        <v>47.18</v>
      </c>
      <c r="Q11">
        <v>44.94</v>
      </c>
      <c r="R11">
        <v>47.31</v>
      </c>
    </row>
    <row r="12" spans="1:18" x14ac:dyDescent="0.2">
      <c r="A12">
        <v>0.5027314814814815</v>
      </c>
      <c r="B12">
        <v>0.50318287037037035</v>
      </c>
      <c r="C12" s="42">
        <v>42528</v>
      </c>
      <c r="D12">
        <v>0.50474537037037037</v>
      </c>
      <c r="E12">
        <v>0.50533564814814813</v>
      </c>
      <c r="F12">
        <v>48.58</v>
      </c>
      <c r="G12">
        <v>45.04</v>
      </c>
      <c r="H12">
        <v>4.6296296296296293E-4</v>
      </c>
      <c r="I12">
        <v>1.0995370370370371E-3</v>
      </c>
      <c r="J12">
        <v>5.9027777777777778E-4</v>
      </c>
      <c r="K12">
        <v>8.7962962962962962E-4</v>
      </c>
      <c r="L12">
        <v>3.483796296296296E-3</v>
      </c>
      <c r="M12">
        <v>48.58</v>
      </c>
      <c r="N12">
        <v>45.04</v>
      </c>
      <c r="O12">
        <v>42.87</v>
      </c>
      <c r="P12">
        <v>43.51</v>
      </c>
      <c r="Q12">
        <v>43.52</v>
      </c>
      <c r="R12">
        <v>44.17</v>
      </c>
    </row>
    <row r="13" spans="1:18" x14ac:dyDescent="0.2">
      <c r="A13">
        <v>0.51597222222222217</v>
      </c>
      <c r="B13">
        <v>0.51637731481481486</v>
      </c>
      <c r="C13" s="42">
        <v>42528</v>
      </c>
      <c r="D13">
        <v>0.5178935185185185</v>
      </c>
      <c r="E13">
        <v>0.51846064814814818</v>
      </c>
      <c r="F13">
        <v>53.81</v>
      </c>
      <c r="G13">
        <v>43.53</v>
      </c>
      <c r="H13">
        <v>4.7453703703703698E-4</v>
      </c>
      <c r="I13">
        <v>1.0416666666666671E-3</v>
      </c>
      <c r="J13">
        <v>5.6712962962962956E-4</v>
      </c>
      <c r="K13">
        <v>8.449074074074075E-4</v>
      </c>
      <c r="L13">
        <v>3.333333333333334E-3</v>
      </c>
      <c r="M13">
        <v>53.81</v>
      </c>
      <c r="N13">
        <v>43.53</v>
      </c>
      <c r="O13">
        <v>45.34</v>
      </c>
      <c r="P13">
        <v>45.5</v>
      </c>
      <c r="Q13">
        <v>44.88</v>
      </c>
      <c r="R13">
        <v>46.02</v>
      </c>
    </row>
    <row r="14" spans="1:18" x14ac:dyDescent="0.2">
      <c r="A14">
        <v>0.52857638888888892</v>
      </c>
      <c r="B14">
        <v>0.52901620370370372</v>
      </c>
      <c r="C14" s="42">
        <v>42528</v>
      </c>
      <c r="D14">
        <v>0.53049768518518514</v>
      </c>
      <c r="E14">
        <v>0.53104166666666663</v>
      </c>
      <c r="F14">
        <v>49.94</v>
      </c>
      <c r="G14">
        <v>43.79</v>
      </c>
      <c r="H14">
        <v>4.7453703703703698E-4</v>
      </c>
      <c r="I14">
        <v>1.006944444444444E-3</v>
      </c>
      <c r="J14">
        <v>5.4398148148148144E-4</v>
      </c>
      <c r="K14">
        <v>8.6805555555555551E-4</v>
      </c>
      <c r="L14">
        <v>3.333333333333334E-3</v>
      </c>
      <c r="M14">
        <v>49.94</v>
      </c>
      <c r="N14">
        <v>43.79</v>
      </c>
      <c r="O14">
        <v>47.1</v>
      </c>
      <c r="P14">
        <v>46.78</v>
      </c>
      <c r="Q14">
        <v>43.65</v>
      </c>
      <c r="R14">
        <v>46.05</v>
      </c>
    </row>
    <row r="15" spans="1:18" x14ac:dyDescent="0.2">
      <c r="A15">
        <v>0.54134259259259265</v>
      </c>
      <c r="B15">
        <v>0.54177083333333331</v>
      </c>
      <c r="C15" s="42">
        <v>42528</v>
      </c>
      <c r="D15">
        <v>0.54317129629629635</v>
      </c>
      <c r="E15">
        <v>0.54372685185185188</v>
      </c>
      <c r="F15">
        <v>51.94</v>
      </c>
      <c r="G15">
        <v>46.4</v>
      </c>
      <c r="H15">
        <v>4.5138888888888892E-4</v>
      </c>
      <c r="I15">
        <v>9.4907407407407408E-4</v>
      </c>
      <c r="J15">
        <v>5.5555555555555556E-4</v>
      </c>
      <c r="K15">
        <v>8.2175925925925917E-4</v>
      </c>
      <c r="L15">
        <v>3.2060185185185191E-3</v>
      </c>
      <c r="M15">
        <v>51.94</v>
      </c>
      <c r="N15">
        <v>46.4</v>
      </c>
      <c r="O15">
        <v>49.65</v>
      </c>
      <c r="P15">
        <v>46.06</v>
      </c>
      <c r="Q15">
        <v>46.53</v>
      </c>
      <c r="R15">
        <v>48.08</v>
      </c>
    </row>
    <row r="16" spans="1:18" x14ac:dyDescent="0.2">
      <c r="A16">
        <v>0.55291666666666661</v>
      </c>
      <c r="B16">
        <v>0.55329861111111112</v>
      </c>
      <c r="C16" s="42">
        <v>42528</v>
      </c>
      <c r="D16">
        <v>0.55469907407407404</v>
      </c>
      <c r="E16">
        <v>0.5552083333333333</v>
      </c>
      <c r="F16">
        <v>57.16</v>
      </c>
      <c r="G16">
        <v>46.2</v>
      </c>
      <c r="H16">
        <v>4.5138888888888892E-4</v>
      </c>
      <c r="I16">
        <v>9.4907407407407408E-4</v>
      </c>
      <c r="J16">
        <v>5.0925925925925921E-4</v>
      </c>
      <c r="K16">
        <v>7.8703703703703705E-4</v>
      </c>
      <c r="L16">
        <v>3.0787037037037042E-3</v>
      </c>
      <c r="M16">
        <v>57.16</v>
      </c>
      <c r="N16">
        <v>46.2</v>
      </c>
      <c r="O16">
        <v>49.68</v>
      </c>
      <c r="P16">
        <v>50.55</v>
      </c>
      <c r="Q16">
        <v>48.39</v>
      </c>
      <c r="R16">
        <v>49.91</v>
      </c>
    </row>
    <row r="17" spans="1:18" x14ac:dyDescent="0.2">
      <c r="A17">
        <v>0.56511574074074067</v>
      </c>
      <c r="B17">
        <v>0.56552083333333336</v>
      </c>
      <c r="C17" s="42">
        <v>42528</v>
      </c>
      <c r="D17">
        <v>0.56693287037037032</v>
      </c>
      <c r="E17">
        <v>0.56747685185185182</v>
      </c>
      <c r="F17">
        <v>53.89</v>
      </c>
      <c r="G17">
        <v>47.21</v>
      </c>
      <c r="H17">
        <v>4.3981481481481481E-4</v>
      </c>
      <c r="I17">
        <v>9.7222222222222209E-4</v>
      </c>
      <c r="J17">
        <v>5.4398148148148144E-4</v>
      </c>
      <c r="K17">
        <v>8.564814814814815E-4</v>
      </c>
      <c r="L17">
        <v>3.2175925925925931E-3</v>
      </c>
      <c r="M17">
        <v>53.89</v>
      </c>
      <c r="N17">
        <v>47.21</v>
      </c>
      <c r="O17">
        <v>48.56</v>
      </c>
      <c r="P17">
        <v>46.67</v>
      </c>
      <c r="Q17">
        <v>44.7</v>
      </c>
      <c r="R17">
        <v>47.7</v>
      </c>
    </row>
    <row r="18" spans="1:18" x14ac:dyDescent="0.2">
      <c r="A18">
        <v>0.57777777777777783</v>
      </c>
      <c r="B18">
        <v>0.578125</v>
      </c>
      <c r="C18" s="42">
        <v>42528</v>
      </c>
      <c r="D18">
        <v>0.57944444444444443</v>
      </c>
      <c r="E18">
        <v>0.57995370370370369</v>
      </c>
      <c r="F18">
        <v>62.72</v>
      </c>
      <c r="G18">
        <v>48.47</v>
      </c>
      <c r="H18">
        <v>4.2824074074074081E-4</v>
      </c>
      <c r="I18">
        <v>8.9120370370370362E-4</v>
      </c>
      <c r="J18">
        <v>5.0925925925925921E-4</v>
      </c>
      <c r="K18">
        <v>7.9861111111111105E-4</v>
      </c>
      <c r="L18">
        <v>2.9745370370370368E-3</v>
      </c>
      <c r="M18">
        <v>62.72</v>
      </c>
      <c r="N18">
        <v>48.47</v>
      </c>
      <c r="O18">
        <v>53.03</v>
      </c>
      <c r="P18">
        <v>50.73</v>
      </c>
      <c r="Q18">
        <v>48.02</v>
      </c>
      <c r="R18">
        <v>51.77</v>
      </c>
    </row>
    <row r="19" spans="1:18" x14ac:dyDescent="0.2">
      <c r="A19">
        <v>0.66898148148148151</v>
      </c>
      <c r="B19">
        <v>0.66940972222222228</v>
      </c>
      <c r="C19" s="42">
        <v>42528</v>
      </c>
      <c r="D19">
        <v>0.67092592592592604</v>
      </c>
      <c r="E19">
        <v>0.67150462962962953</v>
      </c>
      <c r="F19">
        <v>50.71</v>
      </c>
      <c r="G19">
        <v>44.71</v>
      </c>
      <c r="H19">
        <v>4.6296296296296293E-4</v>
      </c>
      <c r="I19">
        <v>1.0532407407407411E-3</v>
      </c>
      <c r="J19">
        <v>5.7870370370370378E-4</v>
      </c>
      <c r="K19">
        <v>8.564814814814815E-4</v>
      </c>
      <c r="L19">
        <v>3.37962962962963E-3</v>
      </c>
      <c r="M19">
        <v>50.71</v>
      </c>
      <c r="N19">
        <v>44.71</v>
      </c>
      <c r="O19">
        <v>44.68</v>
      </c>
      <c r="P19">
        <v>45.35</v>
      </c>
      <c r="Q19">
        <v>43.7</v>
      </c>
      <c r="R19">
        <v>45.32</v>
      </c>
    </row>
    <row r="20" spans="1:18" x14ac:dyDescent="0.2">
      <c r="A20">
        <v>0.68201388888888881</v>
      </c>
      <c r="B20">
        <v>0.6824189814814815</v>
      </c>
      <c r="C20" s="42">
        <v>42528</v>
      </c>
      <c r="D20">
        <v>0.68393518518518526</v>
      </c>
      <c r="E20">
        <v>0.68453703703703705</v>
      </c>
      <c r="F20">
        <v>53.44</v>
      </c>
      <c r="G20">
        <v>44.55</v>
      </c>
      <c r="H20">
        <v>4.6296296296296293E-4</v>
      </c>
      <c r="I20">
        <v>1.0532407407407411E-3</v>
      </c>
      <c r="J20">
        <v>6.018518518518519E-4</v>
      </c>
      <c r="K20">
        <v>8.564814814814815E-4</v>
      </c>
      <c r="L20">
        <v>3.37962962962963E-3</v>
      </c>
      <c r="M20">
        <v>53.44</v>
      </c>
      <c r="N20">
        <v>44.55</v>
      </c>
      <c r="O20">
        <v>45</v>
      </c>
      <c r="P20">
        <v>42.52</v>
      </c>
      <c r="Q20">
        <v>44.11</v>
      </c>
      <c r="R20">
        <v>45.28</v>
      </c>
    </row>
    <row r="21" spans="1:18" x14ac:dyDescent="0.2">
      <c r="A21">
        <v>0.69493055555555561</v>
      </c>
      <c r="B21">
        <v>0.69532407407407415</v>
      </c>
      <c r="C21" s="42">
        <v>42528</v>
      </c>
      <c r="D21">
        <v>0.69678240740740749</v>
      </c>
      <c r="E21">
        <v>0.69733796296296291</v>
      </c>
      <c r="F21">
        <v>55.94</v>
      </c>
      <c r="G21">
        <v>44.67</v>
      </c>
      <c r="H21">
        <v>4.6296296296296293E-4</v>
      </c>
      <c r="I21">
        <v>9.9537037037037042E-4</v>
      </c>
      <c r="J21">
        <v>5.5555555555555556E-4</v>
      </c>
      <c r="K21">
        <v>8.564814814814815E-4</v>
      </c>
      <c r="L21">
        <v>3.2638888888888891E-3</v>
      </c>
      <c r="M21">
        <v>55.94</v>
      </c>
      <c r="N21">
        <v>44.67</v>
      </c>
      <c r="O21">
        <v>47.3</v>
      </c>
      <c r="P21">
        <v>45.84</v>
      </c>
      <c r="Q21">
        <v>44.44</v>
      </c>
      <c r="R21">
        <v>46.97</v>
      </c>
    </row>
    <row r="22" spans="1:18" x14ac:dyDescent="0.2">
      <c r="A22">
        <v>0.70840277777777771</v>
      </c>
      <c r="B22">
        <v>0.70886574074074071</v>
      </c>
      <c r="C22" s="42">
        <v>42528</v>
      </c>
      <c r="D22">
        <v>0.71042824074074085</v>
      </c>
      <c r="E22">
        <v>0.71098379629629627</v>
      </c>
      <c r="F22">
        <v>47.84</v>
      </c>
      <c r="G22">
        <v>42.71</v>
      </c>
      <c r="H22">
        <v>4.8611111111111099E-4</v>
      </c>
      <c r="I22">
        <v>1.0763888888888891E-3</v>
      </c>
      <c r="J22">
        <v>5.5555555555555556E-4</v>
      </c>
      <c r="K22">
        <v>8.449074074074075E-4</v>
      </c>
      <c r="L22">
        <v>3.425925925925926E-3</v>
      </c>
      <c r="M22">
        <v>47.84</v>
      </c>
      <c r="N22">
        <v>42.71</v>
      </c>
      <c r="O22">
        <v>43.9</v>
      </c>
      <c r="P22">
        <v>46</v>
      </c>
      <c r="Q22">
        <v>45.06</v>
      </c>
      <c r="R22">
        <v>44.89</v>
      </c>
    </row>
    <row r="23" spans="1:18" x14ac:dyDescent="0.2">
      <c r="A23">
        <v>0.72130787037037036</v>
      </c>
      <c r="B23">
        <v>0.72171296296296295</v>
      </c>
      <c r="C23" s="42">
        <v>42528</v>
      </c>
      <c r="D23">
        <v>0.7231481481481481</v>
      </c>
      <c r="E23">
        <v>0.72368055555555555</v>
      </c>
      <c r="F23">
        <v>53.38</v>
      </c>
      <c r="G23">
        <v>45.85</v>
      </c>
      <c r="H23">
        <v>4.6296296296296293E-4</v>
      </c>
      <c r="I23">
        <v>9.7222222222222209E-4</v>
      </c>
      <c r="J23">
        <v>5.3240740740740744E-4</v>
      </c>
      <c r="K23">
        <v>8.7962962962962962E-4</v>
      </c>
      <c r="L23">
        <v>3.2523148148148151E-3</v>
      </c>
      <c r="M23">
        <v>53.38</v>
      </c>
      <c r="N23">
        <v>45.85</v>
      </c>
      <c r="O23">
        <v>48.37</v>
      </c>
      <c r="P23">
        <v>48.32</v>
      </c>
      <c r="Q23">
        <v>43.38</v>
      </c>
      <c r="R23">
        <v>47.28</v>
      </c>
    </row>
    <row r="24" spans="1:18" x14ac:dyDescent="0.2">
      <c r="A24">
        <v>0.73464120370370367</v>
      </c>
      <c r="B24">
        <v>0.73508101851851848</v>
      </c>
      <c r="C24" s="42">
        <v>42528</v>
      </c>
      <c r="D24">
        <v>0.73667824074074073</v>
      </c>
      <c r="E24">
        <v>0.73728009259259253</v>
      </c>
      <c r="F24">
        <v>0.7381712962962963</v>
      </c>
      <c r="G24">
        <v>4.3981481481481481E-4</v>
      </c>
      <c r="H24">
        <v>4.8611111111111099E-4</v>
      </c>
      <c r="I24">
        <v>1.1111111111111109E-3</v>
      </c>
      <c r="J24">
        <v>6.018518518518519E-4</v>
      </c>
      <c r="K24">
        <v>8.9120370370370362E-4</v>
      </c>
      <c r="L24">
        <v>3.530092592592592E-3</v>
      </c>
      <c r="M24">
        <v>48.9</v>
      </c>
      <c r="N24">
        <v>42.83</v>
      </c>
      <c r="O24">
        <v>42.22</v>
      </c>
      <c r="P24">
        <v>43.06</v>
      </c>
      <c r="Q24">
        <v>42.99</v>
      </c>
      <c r="R24">
        <v>43.47</v>
      </c>
    </row>
    <row r="25" spans="1:18" x14ac:dyDescent="0.2">
      <c r="A25">
        <v>0.74855324074074081</v>
      </c>
      <c r="B25">
        <v>0.74902777777777774</v>
      </c>
      <c r="C25" s="42">
        <v>42528</v>
      </c>
      <c r="D25">
        <v>0.75059027777777787</v>
      </c>
      <c r="E25">
        <v>0.75120370370370371</v>
      </c>
      <c r="F25">
        <v>0.7521064814814814</v>
      </c>
      <c r="G25">
        <v>4.7453703703703698E-4</v>
      </c>
      <c r="H25">
        <v>4.7453703703703698E-4</v>
      </c>
      <c r="I25">
        <v>1.0879629629629631E-3</v>
      </c>
      <c r="J25">
        <v>6.134259259259259E-4</v>
      </c>
      <c r="K25">
        <v>9.0277777777777784E-4</v>
      </c>
      <c r="L25">
        <v>3.5532407407407401E-3</v>
      </c>
      <c r="M25">
        <v>46.4</v>
      </c>
      <c r="N25">
        <v>43.33</v>
      </c>
      <c r="O25">
        <v>43.49</v>
      </c>
      <c r="P25">
        <v>41.58</v>
      </c>
      <c r="Q25">
        <v>42.17</v>
      </c>
      <c r="R25">
        <v>43.19</v>
      </c>
    </row>
    <row r="26" spans="1:18" x14ac:dyDescent="0.2">
      <c r="A26">
        <v>0.76239583333333327</v>
      </c>
      <c r="B26">
        <v>0.76288194444444446</v>
      </c>
      <c r="C26" s="42">
        <v>42528</v>
      </c>
      <c r="D26">
        <v>0.7645601851851852</v>
      </c>
      <c r="E26">
        <v>0.76515046296296296</v>
      </c>
      <c r="F26">
        <v>0.76600694444444439</v>
      </c>
      <c r="G26">
        <v>4.8611111111111099E-4</v>
      </c>
      <c r="H26">
        <v>5.2083333333333333E-4</v>
      </c>
      <c r="I26">
        <v>1.1574074074074069E-3</v>
      </c>
      <c r="J26">
        <v>5.9027777777777778E-4</v>
      </c>
      <c r="K26">
        <v>8.564814814814815E-4</v>
      </c>
      <c r="L26">
        <v>3.6111111111111109E-3</v>
      </c>
      <c r="M26">
        <v>44.88</v>
      </c>
      <c r="N26">
        <v>40.049999999999997</v>
      </c>
      <c r="O26">
        <v>40.56</v>
      </c>
      <c r="P26">
        <v>43.61</v>
      </c>
      <c r="Q26">
        <v>44.36</v>
      </c>
      <c r="R26">
        <v>42.47</v>
      </c>
    </row>
    <row r="27" spans="1:18" x14ac:dyDescent="0.2">
      <c r="A27">
        <v>0.77695601851851848</v>
      </c>
      <c r="B27">
        <v>0.7774537037037037</v>
      </c>
      <c r="C27" s="41">
        <v>0.77795138888888893</v>
      </c>
      <c r="D27">
        <v>0.77902777777777776</v>
      </c>
      <c r="E27">
        <v>0.77958333333333341</v>
      </c>
      <c r="F27">
        <v>0.78045138888888888</v>
      </c>
      <c r="G27">
        <v>4.9768518518518521E-4</v>
      </c>
      <c r="H27">
        <v>4.9768518518518521E-4</v>
      </c>
      <c r="I27">
        <v>1.0763888888888891E-3</v>
      </c>
      <c r="J27">
        <v>5.5555555555555556E-4</v>
      </c>
      <c r="K27">
        <v>8.6805555555555551E-4</v>
      </c>
      <c r="L27">
        <v>3.49537037037037E-3</v>
      </c>
      <c r="M27">
        <v>44.56</v>
      </c>
      <c r="N27">
        <v>41.37</v>
      </c>
      <c r="O27">
        <v>43.96</v>
      </c>
      <c r="P27">
        <v>46.08</v>
      </c>
      <c r="Q27">
        <v>43.88</v>
      </c>
      <c r="R27">
        <v>43.99</v>
      </c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abSelected="1" workbookViewId="0">
      <selection activeCell="F33" sqref="F33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Job Details</vt:lpstr>
      <vt:lpstr>Duration Summary</vt:lpstr>
      <vt:lpstr>Location - Distance</vt:lpstr>
      <vt:lpstr>Journey Times</vt:lpstr>
      <vt:lpstr>Journey Duration</vt:lpstr>
      <vt:lpstr>Journey Speeds</vt:lpstr>
      <vt:lpstr>Temp</vt:lpstr>
      <vt:lpstr>Raw Data</vt:lpstr>
      <vt:lpstr>'Duration Summary'!Print_Area</vt:lpstr>
      <vt:lpstr>'Job Details'!Print_Area</vt:lpstr>
      <vt:lpstr>'Journey Duration'!Print_Area</vt:lpstr>
      <vt:lpstr>'Journey Speeds'!Print_Area</vt:lpstr>
      <vt:lpstr>'Journey Times'!Print_Area</vt:lpstr>
      <vt:lpstr>'Location - Distance'!Print_Area</vt:lpstr>
    </vt:vector>
  </TitlesOfParts>
  <Company>COU London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</dc:creator>
  <cp:lastModifiedBy>Neil Watson</cp:lastModifiedBy>
  <cp:lastPrinted>2014-05-12T11:05:54Z</cp:lastPrinted>
  <dcterms:created xsi:type="dcterms:W3CDTF">2007-07-26T12:26:39Z</dcterms:created>
  <dcterms:modified xsi:type="dcterms:W3CDTF">2016-08-31T14:18:56Z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807046553</vt:i4>
  </property>
  <property fmtid="{D5CDD505-2E9C-101B-9397-08002B2CF9AE}" pid="3" name="_EmailSubject">
    <vt:lpwstr>Jts</vt:lpwstr>
  </property>
  <property fmtid="{D5CDD505-2E9C-101B-9397-08002B2CF9AE}" pid="4" name="_AuthorEmail">
    <vt:lpwstr>IBalter@countonus.co.uk</vt:lpwstr>
  </property>
  <property fmtid="{D5CDD505-2E9C-101B-9397-08002B2CF9AE}" pid="5" name="_AuthorEmailDisplayName">
    <vt:lpwstr>Inga Balter</vt:lpwstr>
  </property>
  <property fmtid="{D5CDD505-2E9C-101B-9397-08002B2CF9AE}" pid="6" name="_ReviewingToolsShownOnce">
    <vt:lpwstr/>
  </property>
</Properties>
</file>